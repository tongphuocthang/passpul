
<file path=[Content_Types].xml><?xml version="1.0" encoding="utf-8"?>
<Types xmlns="http://schemas.openxmlformats.org/package/2006/content-types">
  <Default ContentType="application/vnd.openxmlformats-officedocument.oleObject" Extension="bin"/>
  <Default ContentType="image/bmp" Extension="bmp"/>
  <Default ContentType="image/x-emf" Extension="emf"/>
  <Default ContentType="image/gif" Extension="gif"/>
  <Default ContentType="image/jpeg" Extension="jpeg"/>
  <Default ContentType="image/pct" Extension="pct"/>
  <Default ContentType="image/pcx" Extension="pcx"/>
  <Default ContentType="image/png" Extension="png"/>
  <Default ContentType="application/vnd.openxmlformats-package.relationships+xml" Extension="rels"/>
  <Default ContentType="image/tga" Extension="tga"/>
  <Default ContentType="image/tif" Extension="tif"/>
  <Default ContentType="application/vnd.openxmlformats-officedocument.vmlDrawing" Extension="vml"/>
  <Default ContentType="image/x-wmf" Extension="wmf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+xml" PartName="/xl/drawings/drawing1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</Types>
</file>

<file path=_rels/.rels><?xml version="1.0" encoding="UTF-8" standalone="no"?>
<Relationships xmlns="http://schemas.openxmlformats.org/package/2006/relationships">
<Relationship Id="rId1" Target="docProps/core.xml" Type="http://schemas.openxmlformats.org/package/2006/relationships/metadata/core-properties"/>
<Relationship Id="rId2" Target="docProps/app.xml" Type="http://schemas.openxmlformats.org/officeDocument/2006/relationships/extended-properties"/>
<Relationship Id="rId3" Target="xl/workbook.xml" Type="http://schemas.openxmlformats.org/officeDocument/2006/relationships/officeDocument"/>
</Relationships>
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fileSharing readOnlyRecommended="0" userName="mrh"/>
  <workbookPr codeName="ThisWorkbook" defaultThemeVersion="124226" updateLinks="never"/>
  <bookViews>
    <workbookView activeTab="1" tabRatio="500" windowHeight="8010" windowWidth="14805" xWindow="240" yWindow="60"/>
  </bookViews>
  <sheets>
    <sheet name="Overview" r:id="rId5" sheetId="1"/>
    <sheet name="TC" r:id="rId6" sheetId="2"/>
    <sheet name="Extension" r:id="rId7" sheetId="3"/>
    <sheet name="Test Report" r:id="rId8" sheetId="4"/>
    <sheet name="Keyword" r:id="rId9" sheetId="5"/>
  </sheets>
  <definedNames>
    <definedName hidden="1" localSheetId="1" name="_xlnm._FilterDatabase">TC!$A$1:$Y$50</definedName>
    <definedName hidden="1" localSheetId="4" name="_xlnm._FilterDatabase">Keyword!$A$1:$D$91</definedName>
  </definedNames>
  <calcPr/>
  <extLst>
    <ext uri="smNativeData">
      <pm:revision xmlns:pm="smNativeData" day="1542774493" rev="123" revOS="4" val="938"/>
      <pm:docPrefs xmlns:pm="smNativeData" autoChart="1" compatTextArt="1" finalRounding="1" fixedDigits="0" id="1542774493" printArea="currentSheet" recalcOnCopy="1" recalcOnPrint="1" showFrameBounds="1" showNotice="1" tab="567" useDefinedPrintRange="1"/>
      <pm:compatibility xmlns:pm="smNativeData" id="1542774493" overlapCells="1"/>
      <pm:defCurrency xmlns:pm="smNativeData" id="1542774493"/>
    </ext>
  </extLst>
</workbook>
</file>

<file path=xl/sharedStrings.xml><?xml version="1.0" encoding="utf-8"?>
<sst xmlns="http://schemas.openxmlformats.org/spreadsheetml/2006/main" count="892" uniqueCount="371">
  <si>
    <t>TEST CASE</t>
  </si>
  <si>
    <t>Project Name</t>
  </si>
  <si>
    <t>Project Manager</t>
  </si>
  <si>
    <t>Targeted SW Platforms</t>
  </si>
  <si>
    <t>Test Lead</t>
  </si>
  <si>
    <t>Targeted Devices</t>
  </si>
  <si>
    <t>Tester(s)</t>
  </si>
  <si>
    <t>Required Bearer</t>
  </si>
  <si>
    <t>Tested on Terminal</t>
  </si>
  <si>
    <t>Required Memory (ROM/RAM)</t>
  </si>
  <si>
    <t>No. of Test cases</t>
  </si>
  <si>
    <t>Records of Change</t>
  </si>
  <si>
    <t>Module</t>
  </si>
  <si>
    <t>Section</t>
  </si>
  <si>
    <t>A / M / D</t>
  </si>
  <si>
    <t xml:space="preserve">Description </t>
  </si>
  <si>
    <t>Version</t>
  </si>
  <si>
    <t>Reference</t>
  </si>
  <si>
    <t>Created By</t>
  </si>
  <si>
    <t>Created Date</t>
  </si>
  <si>
    <t xml:space="preserve">Reviewed By </t>
  </si>
  <si>
    <t>Reviewed Date</t>
  </si>
  <si>
    <t>Definitions, Acronyms and Abbreviations</t>
  </si>
  <si>
    <t>TC</t>
  </si>
  <si>
    <t>Test case</t>
  </si>
  <si>
    <t>Sub-module</t>
  </si>
  <si>
    <t>TC_ID</t>
  </si>
  <si>
    <t>Test Scenario</t>
  </si>
  <si>
    <t>Priority</t>
  </si>
  <si>
    <t>Execute</t>
  </si>
  <si>
    <t>Result</t>
  </si>
  <si>
    <t>Step #</t>
  </si>
  <si>
    <t>Step Description</t>
  </si>
  <si>
    <t>Keyword</t>
  </si>
  <si>
    <t>Keyword Description</t>
  </si>
  <si>
    <t>Object</t>
  </si>
  <si>
    <t>Locator</t>
  </si>
  <si>
    <t>Value 1</t>
  </si>
  <si>
    <t>Value 2</t>
  </si>
  <si>
    <t>Value 3</t>
  </si>
  <si>
    <t>Value 4</t>
  </si>
  <si>
    <t>Value 5</t>
  </si>
  <si>
    <t>Value 6</t>
  </si>
  <si>
    <t>Value 7</t>
  </si>
  <si>
    <t>Value 8</t>
  </si>
  <si>
    <t>Value 9</t>
  </si>
  <si>
    <t>Value 10</t>
  </si>
  <si>
    <t>Failure Cause</t>
  </si>
  <si>
    <t>Screenshot</t>
  </si>
  <si>
    <t>Create Offer</t>
  </si>
  <si>
    <t>TC_01</t>
  </si>
  <si>
    <t>Go to DCM Login Screen successfully</t>
  </si>
  <si>
    <t>Medium</t>
  </si>
  <si>
    <t>Y</t>
  </si>
  <si>
    <t/>
  </si>
  <si>
    <t>Go to DCM Login Screen</t>
  </si>
  <si>
    <t>GO TO URL</t>
  </si>
  <si>
    <t>DCM_OfferCreate</t>
  </si>
  <si>
    <t>TC_02</t>
  </si>
  <si>
    <t>Login to DCM successfully</t>
  </si>
  <si>
    <t>Input Username</t>
  </si>
  <si>
    <t>SET TEXT</t>
  </si>
  <si>
    <t>DCM_Login_Username_Textbox</t>
  </si>
  <si>
    <t>DCM_Admin_Username</t>
  </si>
  <si>
    <t>Input Password</t>
  </si>
  <si>
    <t>DCM_Login_Password_Textbox</t>
  </si>
  <si>
    <t>DCM_Admin_Password</t>
  </si>
  <si>
    <t>Click on [Login] button</t>
  </si>
  <si>
    <t>CLICK</t>
  </si>
  <si>
    <t>DCM_Login_Login_Button</t>
  </si>
  <si>
    <t>Wait until page is loaded</t>
  </si>
  <si>
    <t>WAIT FOR AJAX</t>
  </si>
  <si>
    <t>TC_03</t>
  </si>
  <si>
    <t>N</t>
  </si>
  <si>
    <t>CHOOSE FILE</t>
  </si>
  <si>
    <t>DCM_OfferCreate_Attachment</t>
  </si>
  <si>
    <t>exampleFileUpload01</t>
  </si>
  <si>
    <t>PAUSE</t>
  </si>
  <si>
    <t>TC_04</t>
  </si>
  <si>
    <t>Verify Offer ID</t>
  </si>
  <si>
    <t>VERIFY TEXT DB</t>
  </si>
  <si>
    <t>DCM_OfferCreate_OfferID_Label</t>
  </si>
  <si>
    <t>DCM_GetAPNBR</t>
  </si>
  <si>
    <t>TC_05</t>
  </si>
  <si>
    <t>Verify Supplier Narrow list</t>
  </si>
  <si>
    <t>Set text Supplier</t>
  </si>
  <si>
    <t>DCM_OfferCreate_Supplier_Textbox</t>
  </si>
  <si>
    <t>sup</t>
  </si>
  <si>
    <t>VERIFY DROPDOWN DB</t>
  </si>
  <si>
    <t>DCM_OfferCreate_Supplier_Options</t>
  </si>
  <si>
    <t>Verify [Assigned To User Type]</t>
  </si>
  <si>
    <t>Click on [Assigned To User Type] dropdown</t>
  </si>
  <si>
    <t>DCM_OfferCreate_AssignToUserType_Dropdown</t>
  </si>
  <si>
    <t>VERIFY DROPDOWN</t>
  </si>
  <si>
    <t>DCM_OfferCreate_AssignToUserType_Options</t>
  </si>
  <si>
    <t>Verify [Assigned To ID]</t>
  </si>
  <si>
    <t>Select [HEB BDM]</t>
  </si>
  <si>
    <t>SELECT DROPDOWN BY VALUE</t>
  </si>
  <si>
    <t>HEB BDM</t>
  </si>
  <si>
    <t>Input [Andy] for [Assigned To ID]</t>
  </si>
  <si>
    <t>DCM_OfferCreate_AssignToID_Textbox</t>
  </si>
  <si>
    <t>Andy</t>
  </si>
  <si>
    <t>DCM_OfferCreate_AssignToID_Options</t>
  </si>
  <si>
    <t>Verify Owner is invalid</t>
  </si>
  <si>
    <t>Input invalid owner</t>
  </si>
  <si>
    <t>DCM_OfferCreate_OwnerID_Textbox</t>
  </si>
  <si>
    <t>thang</t>
  </si>
  <si>
    <t>Press tab</t>
  </si>
  <si>
    <t>TAB</t>
  </si>
  <si>
    <t>Wait for Ajax</t>
  </si>
  <si>
    <t>VERIFY TEXT</t>
  </si>
  <si>
    <t>DCM_OfferCreate_ErrorDisplay_Label</t>
  </si>
  <si>
    <t>The following errors were encountered:
Owner is invalid.</t>
  </si>
  <si>
    <t>Verify Owner is valid</t>
  </si>
  <si>
    <t>Input valid owner</t>
  </si>
  <si>
    <t>p165114</t>
  </si>
  <si>
    <t>Verify Owner is valid. Owner name is displayed</t>
  </si>
  <si>
    <t>DCM_OfferCreate_OwnerName_Label</t>
  </si>
  <si>
    <t>Peters,Carrol</t>
  </si>
  <si>
    <t>Verify creating a new Offer unsuccessfully</t>
  </si>
  <si>
    <t>Click on [Create Offer and Go to Deal Builder] icon</t>
  </si>
  <si>
    <t>DCM_OfferCreate_CreateOffer_Button</t>
  </si>
  <si>
    <t>The following errors were encountered:
Supplier cannot be empty.
Description cannot be empty.</t>
  </si>
  <si>
    <t>Verify reset function</t>
  </si>
  <si>
    <t>Input comment</t>
  </si>
  <si>
    <t>DCM_OfferCreate_Comment_Textbox</t>
  </si>
  <si>
    <t>Thang Test</t>
  </si>
  <si>
    <t>Click on [Reset] icon</t>
  </si>
  <si>
    <t>DCM_OfferCreate_Reset_Button</t>
  </si>
  <si>
    <t>Click on [OK] Button from Confirm Popup</t>
  </si>
  <si>
    <t>DCM_OfferCreate_ConfirmOK_Button</t>
  </si>
  <si>
    <t>Upload file</t>
  </si>
  <si>
    <t>Upload multiple files</t>
  </si>
  <si>
    <t>UPLOAD MULTI FILES</t>
  </si>
  <si>
    <t>Verify files are uploaded successfully</t>
  </si>
  <si>
    <t>DCM_OfferCreate_AttachNumber_Label</t>
  </si>
  <si>
    <t>DCM_OfferCreate_AttachFileList_Label</t>
  </si>
  <si>
    <t>File01.txt
File02.txt
File03.txt</t>
  </si>
  <si>
    <t>END</t>
  </si>
  <si>
    <t>Predefined list</t>
  </si>
  <si>
    <t>Supplier</t>
  </si>
  <si>
    <t>File List</t>
  </si>
  <si>
    <t>exampleFile01</t>
  </si>
  <si>
    <t>exampleFile02</t>
  </si>
  <si>
    <t>exampleFile03</t>
  </si>
  <si>
    <t>Start</t>
  </si>
  <si>
    <t>End</t>
  </si>
  <si>
    <t>TEST REPORT</t>
  </si>
  <si>
    <t>Total Running Time</t>
  </si>
  <si>
    <t>Passed</t>
  </si>
  <si>
    <t>Failed</t>
  </si>
  <si>
    <t>Document Code</t>
  </si>
  <si>
    <t>Skipped</t>
  </si>
  <si>
    <t># of TCs</t>
  </si>
  <si>
    <t>Test Coverage</t>
  </si>
  <si>
    <t>% Passed</t>
  </si>
  <si>
    <t>% Failed</t>
  </si>
  <si>
    <t>Type</t>
  </si>
  <si>
    <t>Description</t>
  </si>
  <si>
    <t>WebUI</t>
  </si>
  <si>
    <t>Alert</t>
  </si>
  <si>
    <t>ACCEPT ALERT</t>
  </si>
  <si>
    <t>Click on [OK] button of an alert popup</t>
  </si>
  <si>
    <t>DISMISS ALERT</t>
  </si>
  <si>
    <t>Click on [Cancel] button of an alert popup</t>
  </si>
  <si>
    <t>VERIFY ALERT MESSAGE</t>
  </si>
  <si>
    <t>Verify Alert message with specified value
- Value 1(*): Value to be compared to Alert message</t>
  </si>
  <si>
    <t>SET ALERT TEXT</t>
  </si>
  <si>
    <t>Input text into a prompt popup
- Value 1(*): The text to type</t>
  </si>
  <si>
    <t>Browser</t>
  </si>
  <si>
    <t>Go to the specified URL
- Value 1(*): URL of the web page to be opened</t>
  </si>
  <si>
    <t>NAVIGATE</t>
  </si>
  <si>
    <t>Navigate to the specified web page.
- Value 1(*): URL of web page to navigate to</t>
  </si>
  <si>
    <t>REFRESH</t>
  </si>
  <si>
    <t>Click on [Refresh] button of browser</t>
  </si>
  <si>
    <t>BACK</t>
  </si>
  <si>
    <t>Click on [Back] button of browser</t>
  </si>
  <si>
    <t>FORWARD</t>
  </si>
  <si>
    <t>Click on [Forward] button of browser</t>
  </si>
  <si>
    <t>Text</t>
  </si>
  <si>
    <t>Input value into an input field
- Locator(*): Locator of the element to be inputted
- Value 1: The text to type in</t>
  </si>
  <si>
    <t>REMOVE TEXT</t>
  </si>
  <si>
    <t>Remove value from an input field
- Locator(*): Locator of the element to be removed value</t>
  </si>
  <si>
    <t>Verify text of label with specified value
- Locator(*): Locator of the label to be verified
- Value 1(*): The value will be compared to the text of label</t>
  </si>
  <si>
    <t>VERIFY TEXT SPECIFIED LIST</t>
  </si>
  <si>
    <t>Verify text of label with specified value list
- Locator(*): Locator of the label to be verified
- Value 1(*): The name of table contains specified value list in 'Extension' Sheet. All specified values will be compared to the text of label</t>
  </si>
  <si>
    <t>Verify text of label with the result of executing SQL Statement
- Locator(*): Locator of the label to be verified
- Value 1(*): The SQL Statement to be executed (defined in [sqlStatement.properties]). The result of executing SQL Statement will be compared to the text of label</t>
  </si>
  <si>
    <t>VERIFY TEXT WS</t>
  </si>
  <si>
    <t>Verify text of label with the result of running WS
NOTE: This keyword is used after running [RUN SOAPUI] keyword
- Locator(*): Locator of the label to be verified
- Value 1(*): xpath (xml) / jsonPath (json) is defined in [locator.properties]
- Value 2(*): Type of result (STRING/NUMBER/DATE)
- Value 3: Format of result 
Result with NUMBER format: Number of digits after the decimal point. Ex: With Value 2 = [NUMBER] and Value 3 = [2]. The result will be formatted as X.YY (2 digits after the decimal point)
Result with DATE format: Date format. Ex: MM/dd/yyyy
- Value 4: Default value if WS does not return value
- Value 5: Order the result (ASC/DESC). Default is ASC
- Value 6: Aggregate the result (SUM/AVG/MIN/MAX/COUNT)
- Value 7:  The name of table in 'Extension' Sheet contains specified value list to be removed in the result 
Ex: The result = [$2,500.50], the specified value list = [$] and [,]. The final result will be [2500.50]
- Value 8: Prefix value - a letter or group of letters added to the beginning of the result
Ex: The result = [25], Value 8 = [$]. The final result will be [$25]
- Value 9: Suffix value - a letter or group of letters added to the end of the result
Ex: The result = [25], Value 9 = [ VND]. The final result will be [25 VND]</t>
  </si>
  <si>
    <t>Checkbox / Radio Button</t>
  </si>
  <si>
    <t>CHECK</t>
  </si>
  <si>
    <t>Check a toggle-button (check-box/radio-button)
- Locator(*): Locator of the element to be checked</t>
  </si>
  <si>
    <t>UNCHECK</t>
  </si>
  <si>
    <t>Uncheck a check-box
- Locator(*): Locator of the element to be unchecked</t>
  </si>
  <si>
    <t>VERIFY ELEMENT CHECKED</t>
  </si>
  <si>
    <t>Verify element is checked
- Locator(*): Locator of the element to be verified</t>
  </si>
  <si>
    <t>VERIFY ELEMENT NOT CHECKED</t>
  </si>
  <si>
    <t>Verify element is NOT checked
- Locator(*): Locator of the element to be verified</t>
  </si>
  <si>
    <t>Checkbox</t>
  </si>
  <si>
    <t>VERIFY CHECKBOX</t>
  </si>
  <si>
    <t>Verify status of Check-box (Checked/ NOT Checked) with specified value
- Locator(*): Locator of the check-box to be verified
- Value 1: The returned value when check-box is checked - Default is [Y]
- Value 2: The returned value when check-box is NOT checked - Default is [N]
- Value 3(*): The value will be compared to [Value 1] / [Value 2] based on the status of check-box</t>
  </si>
  <si>
    <t>VERIFY CHECKBOX SPECIFIED LIST</t>
  </si>
  <si>
    <t>Verify status of Check-box (Checked/ NOT Checked) with specified value list
- Locator(*): Locator of the check-box to be verified
- Value 1(*): The name of table contains specified value list in 'Extension' Sheet. All specified values will be compared to [Value 1] / [Value 2] based on the status of check-box</t>
  </si>
  <si>
    <t>VERIFY CHECKBOX DB</t>
  </si>
  <si>
    <t>Verify status of Check-box (Checked/ NOT Checked) with the result of executing SQL Statement
- Locator(*): Locator of the check-box to be verified
- Value 1: The returned value when check-box is checked - Default is [Y]
- Value 2: The returned value when check-box is NOT checked - Default is [N]
- Value 3(*): The SQL Statement to be executed (defined in [sqlStatement.properties]). The result of executing SQL Statement will be compared to [Value 1] / [Value 2] based on the status of check-box</t>
  </si>
  <si>
    <t>VERIFY CHECKBOX WS</t>
  </si>
  <si>
    <t>Verify status of Check-box (Checked/ NOT Checked) with the result of running WS
NOTE: This keyword is used after running [RUN SOAPUI] keyword
- Locator(*): Locator of the check-box to be verified
- Value 1: The returned value when check-box is checked - Default is [Y]
- Value 2: The returned value when check-box is NOT checked - Default is [N]
- Value 3(*): xpath (xml) / jsonPath (json) is defined in [locator.properties]
- Value 4(*): Type of result (STRING/NUMBER/DATE)
- Value 5: Format of result 
Result with NUMBER format: Number of digits after the decimal point. Ex: With Value 2 = [NUMBER] and Value 3 = [2]. The result will be formatted as X.YY (2 digits after the decimal point)
Result with DATE format: Date format. Ex: MM/dd/yyyy
- Value 6: Default value if WS does not return value
- Value 7: Order the result (ASC/DESC). Default is ASC
- Value 8: Aggregate the result (SUM/AVG/MIN/MAX/COUNT)
- Value 9:  The name of table in 'Extension' Sheet contains specified value list to be removed in the result 
Ex: The result = [$2,500.50], the specified value list = [$] and [,]. The final result will be [2500.50]</t>
  </si>
  <si>
    <t>Radio Button</t>
  </si>
  <si>
    <t>VERIFY RADIO BUTTON</t>
  </si>
  <si>
    <t>Verify status of Radio-Button (Checked/ NOT Checked) with specified value
- Locator(*): Locator of the Radio-Button to be verified
- Value 1: The returned value when Radio-Button is checked - Default is [Y]
- Value 2: The returned value when Radio-Button is NOT checked - Default is [N]
- Value 3(*): The value will be compared to [Value 1] / [Value 2] based on the status of Radio-Button</t>
  </si>
  <si>
    <t>VERIFY RADIO BUTTON SPECIFIED LIST</t>
  </si>
  <si>
    <t>Verify status of Radio-Button (Checked/ NOT Checked) with specified value list
- Locator(*): Locator of the Radio-Button to be verified
- Value 1(*): The name of table contains specified value list in 'Extension' Sheet. All specified values will be compared to [Value 1] / [Value 2] based on the status of Radio-Button</t>
  </si>
  <si>
    <t>VERIFY RADIO BUTTON DB</t>
  </si>
  <si>
    <t>Verify status of Radio-Button (Checked/ NOT Checked) with the result of executing SQL Statement
- Locator(*): Locator of the Radio-Button to be verified
- Value 1: The returned value when Radio-Button is checked - Default is [Y]
- Value 2: The returned value when Radio-Button is NOT checked - Default is [N]
- Value 3(*): The SQL Statement to be executed (defined in [sqlStatement.properties]). The result of executing SQL Statement will be compared to [Value 1] / [Value 2] based on the status of Radio-Button</t>
  </si>
  <si>
    <t>VERIFY RADIO BUTTON WS</t>
  </si>
  <si>
    <t>Verify status of Radio-Button (Checked/ NOT Checked) with the result of running WS
NOTE: This keyword is used after running [RUN SOAPUI] keyword
- Locator(*): Locator of the Radio-Button to be verified
- Value 1: The returned value when Radio-Button is checked - Default is [Y]
- Value 2: The returned value when Radio-Button is NOT checked - Default is [N]
- Value 3(*): xpath (xml) / jsonPath (json) is defined in [locator.properties]
- Value 4(*): Type of result (STRING/NUMBER/DATE)
- Value 5: Format of result 
Result with NUMBER format: Number of digits after the decimal point. Ex: With Value 2 = [NUMBER] and Value 3 = [2]. The result will be formatted as X.YY (2 digits after the decimal point)
Result with DATE format: Date format. Ex: MM/dd/yyyy
- Value 6: Default value if WS does not return value
- Value 7: Order the result (ASC/DESC). Default is ASC
- Value 8: Aggregate the result (SUM/AVG/MIN/MAX/COUNT)
- Value 9:  The name of table in 'Extension' Sheet contains specified value list to be removed in the result 
Ex: The result = [$2,500.50], the specified value list = [$] and [,]. The final result will be [2500.50]</t>
  </si>
  <si>
    <t>Textbox</t>
  </si>
  <si>
    <t>VERIFY TEXTBOX VALUE</t>
  </si>
  <si>
    <t>Verify value of Textbox with specified value
- Locator(*): Locator of the Textbox to be verified
- Value 1(*): The value will be compared to the value of Textbox</t>
  </si>
  <si>
    <t>VERIFY TEXTBOX VALUE SPECIFIED LIST</t>
  </si>
  <si>
    <t>Verify value of Textbox with specified value list
- Locator(*): Locator of the Textbox to be verified
- Value 1(*): The name of table contains specified value list in 'Extension' Sheet. All specified values will be compared to the value of Textbox</t>
  </si>
  <si>
    <t>VERIFY TEXTBOX VALUE DB</t>
  </si>
  <si>
    <t>Verify value of Textbox with the result of executing SQL Statement
- Locator(*): Locator of the Textbox to be verified
- Value 1(*): The SQL Statement to be executed (defined in [sqlStatement.properties]). The result of executing SQL Statement will be compared to the value of Textbox</t>
  </si>
  <si>
    <t>VERIFY TEXTBOX VALUE WS</t>
  </si>
  <si>
    <t>Verify value of Textbox with the result of running WS
NOTE: This keyword is used after running [RUN SOAPUI] keyword
- Locator(*): Locator of the Textbox to be verified
- Value 1(*): xpath (xml) / jsonPath (json) is defined in [locator.properties]
- Value 2(*): Type of result (STRING/NUMBER/DATE)
- Value 3: Format of result 
Result with NUMBER format: Number of digits after the decimal point. Ex: With Value 2 = [NUMBER] and Value 3 = [2]. The result will be formatted as X.YY (2 digits after the decimal point)
Result with DATE format: Date format. Ex: MM/dd/yyyy
- Value 4: Default value if WS does not return value
- Value 5: Order the result (ASC/DESC). Default is ASC
- Value 6: Aggregate the result (SUM/AVG/MIN/MAX/COUNT)
- Value 7:  The name of table in 'Extension' Sheet contains specified value list to be removed in the result 
Ex: The result = [$2,500.50], the specified value list = [$] and [,]. The final result will be [2500.50]
- Value 8: Prefix value - a letter or group of letters added to the beginning of the result
Ex: The result = [25], Value 8 = [$]. The final result will be [$25]
- Value 9: Suffix value - a letter or group of letters added to the end of the result
Ex: The result = [25], Value 9 = [ VND]. The final result will be [25 VND]</t>
  </si>
  <si>
    <t>Drop-down</t>
  </si>
  <si>
    <t>Select the option of drop-down with the specified value
NOTE: Drop-down option must be present (Click on drop-down to show options then using this Keyword)
- Locator(*): Locator of all options of drop-down to be selected
- Value 1(*): Value of the option to be selected</t>
  </si>
  <si>
    <t>SELECT DROPDOWN BY INDEX</t>
  </si>
  <si>
    <t>Select the option of drop-down with the specified index
NOTE: Drop-down option must be present (Click on drop-down to show options then using this Keyword)
- Locator(*): Locator of all options of drop-down to be selected
- Value 1(*): Index of the option to be selected (Index of the first option is [1])
- Value 2: The variable name to be stored with value of the selected option</t>
  </si>
  <si>
    <t>SELECT FIRST OPTION DROPDOWN</t>
  </si>
  <si>
    <t>Select the first option of drop-down with the specified index
NOTE: Drop-down option must be present (Click on drop-down to show options then using this Keyword)
- Locator(*): Locator of all options of drop-down to be selected
- Value 1: The variable name to be stored with value of the first option</t>
  </si>
  <si>
    <t>SELECT LAST OPTION DROPDOWN</t>
  </si>
  <si>
    <t>Select the last option of drop-down with the specified index
NOTE: Drop-down option must be present (Click on drop-down to show options then using this Keyword)
- Locator(*): Locator of all options of drop-down to be selected
- Value 1: The variable name to be stored with value of the last option</t>
  </si>
  <si>
    <t>MULTI SELECT DROPDOWN BY VALUE</t>
  </si>
  <si>
    <t xml:space="preserve">Select multiple options of drop-down with the specified value
- Locator(*): Locator of all options of drop-down to be selected
- Value 1(*): The name of table contains specified option value list in 'Extension' Sheet. All specified options will be selected </t>
  </si>
  <si>
    <t>MULTI SELECT DROPDOWN BY INDEX</t>
  </si>
  <si>
    <t>Select multiple options of drop-down with the specified index
- Locator(*): Locator of all options of drop-down to be selected
- Value 1(*): The name of table contains specified index list in 'Extension' Sheet. (Index of the first option is [1])
- Value 2: The variable name to be stored with value of the selected option</t>
  </si>
  <si>
    <t>VERIFY SELECTED VALUE DROPDOWN</t>
  </si>
  <si>
    <t>Verify selected values of drop-down with the specified value
NOTE: Only use for [Select] drop-down
- Locator(*): Locator of [Select] drop-down
- Value 1(*): The The value to be compared</t>
  </si>
  <si>
    <t>VERIFY SELECTED VALUE DROPDOWN SPECIFIED LIST</t>
  </si>
  <si>
    <t>Verify selected values of drop-down with the specified value list
NOTE: Only use for [Select] drop-down
- Locator(*): Locator of [Select] drop-down
- Value 1(*): The name of table contains specified value list in 'Extension' Sheet. All specified values will be compared to the selected values of drop-down</t>
  </si>
  <si>
    <t>VERIFY SELECTED VALUE DROPDOWN DB</t>
  </si>
  <si>
    <t>Verify selected values of drop-down with the result of executing SQL Statement
NOTE: Only use for [Select] drop-down
- Locator(*): Locator of [Select] drop-down
- Value 1(*): The SQL Statement to be executed (defined in [sqlStatement.properties]). The result of executing SQL Statement will be compared to the selected values of drop-down</t>
  </si>
  <si>
    <t>VERIFY SELECTED VALUE DROPDOWN WS</t>
  </si>
  <si>
    <t>Verify selected values of drop-down with the result of running WS
NOTE: Only use for [Select] drop-down
This keyword is used after running [RUN SOAPUI] keyword
- Locator(*): Locator of [Select] drop-down
- Value 1(*): xpath (xml) / jsonPath (json) is defined in [locator.properties]
- Value 2(*): Type of result (STRING/NUMBER/DATE)
- Value 3: Format of result 
Result with NUMBER format: Number of digits after the decimal point. Ex: With Value 2 = [NUMBER] and Value 3 = [2]. The result will be formatted as X.YY (2 digits after the decimal point)
Result with DATE format: Date format. Ex: MM/dd/yyyy
- Value 4: Default value if WS does not return value
- Value 5: Order the result (ASC/DESC). Default is ASC
- Value 6: Aggregate the result (SUM/AVG/MIN/MAX/COUNT)
- Value 7:  The name of table in 'Extension' Sheet contains specified value list to be removed in the result 
Ex: The result = [$2,500.50], the specified value list = [$] and [,]. The final result will be [2500.50]
- Value 8: Prefix value - a letter or group of letters added to the beginning of the result
Ex: The result = [25], Value 8 = [$]. The final result will be [$25]
- Value 9: Suffix value - a letter or group of letters added to the end of the result
Ex: The result = [25], Value 9 = [ VND]. The final result will be [25 VND]</t>
  </si>
  <si>
    <t>Verify all values of drop-down with specified value list
- Locator(*): Locator of all options of drop-down to be verified
- Value 1(*): The name of table contains specified option value list in 'Extension' Sheet. All specified option values will be compared to the values of drop-down</t>
  </si>
  <si>
    <t>Verify all values of drop-down with the result of executing SQL Statement
- Locator(*): Locator of the label to be verified
- Value 1(*): The SQL Statement to be executed (defined in [sqlStatement.properties]). The result of executing SQL Statement will be compared to the values of drop-down</t>
  </si>
  <si>
    <t>VERIFY DROPDOWN WS</t>
  </si>
  <si>
    <t>Verify text of label with the result of running WS
NOTE: This keyword is used after running [RUN SOAPUI] keyword
- Locator(*): Locator of all options of drop-down to be verified
- Value 1(*): xpath (xml) / jsonPath (json) is defined in [locator.properties]
- Value 2(*): Type of result (STRING/NUMBER/DATE)
- Value 3: Format of result 
Result with NUMBER format: Number of digits after the decimal point. Ex: With Value 2 = [NUMBER] and Value 3 = [2]. The result will be formatted as X.YY (2 digits after the decimal point)
Result with DATE format: Date format. Ex: MM/dd/yyyy
- Value 4: Default value if WS does not return value
- Value 5: Order the result (ASC/DESC). Default is ASC
- Value 6: Aggregate the result (SUM/AVG/MIN/MAX/COUNT)
- Value 7:  The name of table in 'Extension' Sheet contains specified value list to be removed in the result 
Ex: The result = [$2,500.50], the specified value list = [$] and [,]. The final result will be [2500.50]
- Value 8: Prefix value - a letter or group of letters added to the beginning of the result
Ex: The result = [25], Value 8 = [$]. The final result will be [$25]
- Value 9: Suffix value - a letter or group of letters added to the end of the result
Ex: The result = [25], Value 9 = [ VND]. The final result will be [25 VND]</t>
  </si>
  <si>
    <t>Datepicker</t>
  </si>
  <si>
    <t>SET DATE</t>
  </si>
  <si>
    <t>Input date into an input date field
- Locator(*): Locator of the element to be inputted
- Value 1: The date to type in</t>
  </si>
  <si>
    <t>Element</t>
  </si>
  <si>
    <t>Click on the given element
- Locator(*): Locator of the element to be clicked</t>
  </si>
  <si>
    <t>DOUBLE CLICK</t>
  </si>
  <si>
    <t>Double click on the given element
- Locator(*): Locator of the element to be double clicked</t>
  </si>
  <si>
    <t>WAIT FOR ELEMENT PRESENT</t>
  </si>
  <si>
    <t>Wait until element is present
- Locator(*): Locator of the element
- Value 1: Maximum of waiting time in second. Default is 30(s)</t>
  </si>
  <si>
    <t>WAIT FOR ELEMENT INVISIBLE</t>
  </si>
  <si>
    <t>Wait until element is invisible
- Locator(*): Locator of the element
- Value 1: Maximum of waiting time in seconds. Default is 30(s)</t>
  </si>
  <si>
    <t>Wait until JQUERY AJAX request is finished
- Value 1: Maximum of waiting time in seconds. Default is 60(s)</t>
  </si>
  <si>
    <t>Delay the execution of the automated testing for the specified time
- Value 1: Pausing time in seconds. Default is 5(s)</t>
  </si>
  <si>
    <t>VERIFY CSS VALUE</t>
  </si>
  <si>
    <t>Verify css value of element with the specified value
- Locator(*): Locator of element to be verified
- Value 1(*): CSS property (font-size, color,…)
- Value 2(*): The value will be compared to the returned css value</t>
  </si>
  <si>
    <t>XPATH COUNT</t>
  </si>
  <si>
    <t>Count the number of nodes matching a given XpathExpression
- Locator(*): XpathExpression
- Value 1(*): The value will be compared to the number of nodes matching a given XpathExpression</t>
  </si>
  <si>
    <t>HOVER</t>
  </si>
  <si>
    <t>Hover mouse over the given element
- Locator(*): Locator of element to be hovered</t>
  </si>
  <si>
    <t>SCROLL TO ELEMENT</t>
  </si>
  <si>
    <t>Scroll to a specific element
- Locator(*): Locator of element to be scrolled to</t>
  </si>
  <si>
    <t>SCROLL TO THE BOTTOM</t>
  </si>
  <si>
    <t>Scroll to the bottom of area contains scrollbar
- Locator: Locator of area contains scrollbar. If this value is empty, default is scrolling to the bottom of page</t>
  </si>
  <si>
    <t>Tab</t>
  </si>
  <si>
    <t>NEW TAB</t>
  </si>
  <si>
    <t>Open a new tab</t>
  </si>
  <si>
    <t>CLOSE TAB</t>
  </si>
  <si>
    <t>Close the current tab</t>
  </si>
  <si>
    <t>SWITCH TAB</t>
  </si>
  <si>
    <t>Switch tab by the specified index
- Value 1(*): Index of the tab to be switched to (Index of the first tab is [1])</t>
  </si>
  <si>
    <t>Frame</t>
  </si>
  <si>
    <t>SWITCH TO FRAME</t>
  </si>
  <si>
    <t>Switch the current context into frame.
- Locator(*): Locator of frame to be switched to. Support INDEX/NAME/ID</t>
  </si>
  <si>
    <t>SWITCH TO DEFAULT CONTENT</t>
  </si>
  <si>
    <t>Switch back to default window</t>
  </si>
  <si>
    <t>Window</t>
  </si>
  <si>
    <t>NEW WINDOW</t>
  </si>
  <si>
    <t>Open a new window</t>
  </si>
  <si>
    <t>CLOSE WINDOW</t>
  </si>
  <si>
    <t>Close the current window</t>
  </si>
  <si>
    <t>SWITCH WINDOW</t>
  </si>
  <si>
    <t>Switch window by the specified title
- Value 1(*): Title of the window to be switched to</t>
  </si>
  <si>
    <t>Usability</t>
  </si>
  <si>
    <t>Press Tab key</t>
  </si>
  <si>
    <t>SHIFT TAB</t>
  </si>
  <si>
    <t>Press Shift + Tab Keys</t>
  </si>
  <si>
    <t>COPY PASTE</t>
  </si>
  <si>
    <t>Copy and Paste text into an input field
- Locator(*): Locator of element will be paste text into
- Value 1(*): The value of text to be copied</t>
  </si>
  <si>
    <t>DRAG DROP</t>
  </si>
  <si>
    <t>Move element from one place to another
- Value 1(*): Locator of element to be dragged and dropped
- Value 2(*): Locator of destination place</t>
  </si>
  <si>
    <t>Download File</t>
  </si>
  <si>
    <t>VERIFY DOWNLOADED FILE</t>
  </si>
  <si>
    <t>Verify file is downloaded
- Locator(*): Locator of element to be clicked to download file
- Value 1(*): Download folder is defined in [application.properties]
- Value 2(*): File extension (xlsx, csv,…)
- Value 3(*): Maximum of waiting time in second. Default is 30(s)</t>
  </si>
  <si>
    <t>Upload File</t>
  </si>
  <si>
    <t>Select the local file
- Value 1(*): Local file path is defined in [application.properties]</t>
  </si>
  <si>
    <t>Data Table</t>
  </si>
  <si>
    <t>VERIFY SORTING DATA TABLE</t>
  </si>
  <si>
    <t>Verify data in specified column of table are in order (either ascending or descending)
- Locator(*): Locator of [tbody] element
- Value 1(*): The index of column to be verified. The index of first column is [1]
- Value 2: The index of start row to be gotten data. Default is the index of first row [1]
- Value 3: The index of end row to be gotten data. Default is the end row
NOTE: The maximum index of end row is the index of end row on per page (It isn't on all pages)
- Value 4: The type of data in the column (STRING/NUMBER/DATE). Default is [STRING]
- Value 5: The order(ASC/DESC). Default is [ASC]
- Value 6: xpath of [Next] button if want to verify data on all pages. If [Value 6] is empty, it will be verified on current page
- Value 7: The stop condition when using [Next] button. It's the xpath of disabled [Next] button
- Value 8: The date format (Ex: MM/dd/yyyy). This value is required if [Value 4] = [DATE]
- Value 9: The name of table in 'Extension' Sheet contains specified value list to be removed in the value of each cell</t>
  </si>
  <si>
    <t>VERIFY DATA TABLE DB</t>
  </si>
  <si>
    <t>Verify all values of specified data table with the result of executing SQL Statement
- Locator(*): Locator of [tbody] element
- Value 1(*): The SQL Statement to be executed (defined in [sqlStatement.properties]). The result of executing SQL Statement will be compared to all values of data table
- Value 2: The index of start column to be verified. Default is the index of first column [1]
- Value 3: The index of end column to be verified. Default is getting the last column
NOTE: The maximum index of end row is the index of end row on per page (It isn't on all pages)
- Value 4: The index of start row to be verified. Default is the index of first row [1]
- Value 5: The index of end row to be verified. Default is getting the last row
- Value 6: xpath of [Next] button if want to verify data on all pages. If [Value 6] is empty, it will be verified on current page
- Value 7: The stop condition when using [Next] button. It's the xpath of disabled [Next] button
- Value 8: The name of table in 'Extension' Sheet contains specified value list to be removed in the value of each cell</t>
  </si>
  <si>
    <t>VERIFY DATA TABLE WS</t>
  </si>
  <si>
    <t>Verify all values of specified data table with the result of running WS
NOTE: This keyword is used after running [RUN SOAPUI] keyword
- Locator(*): Locator of [tbody] element
- Value 1(*): The name of table contains WS information in 'Extension' Sheet
-- Value 1.1(*): xpath (xml) / jsonPath (json) is defined in [locator.properties]
-- Value 1.2(*): Type of result (STRING/NUMBER/DATE)
-- Value 1.3: Format of result 
Result with NUMBER format: Number of digits after the decimal point. Ex: With Value 2 = [NUMBER] and Value 3 = [2]. The result will be formatted as X.YY (2 digits after the decimal point)
Result with DATE format: Date format. Ex: MM/dd/yyyy
-- Value 1.4: Default value if WS does not return value
-- Value 1.5: Order the result (ASC/DESC). Default is ASC
-- Value 1.6: Aggregate the result (SUM/AVG/MIN/MAX/COUNT)
-- Value 1.7:  The name of table in 'Extension' Sheet contains specified value list to be removed in the result 
Ex: The result = [$2,500.50], the specified value list = [$] and [,]. The final result will be [2500.50]
-- Value 1.8: Prefix value - a letter or group of letters added to the beginning of the result
Ex: The result = [25], Value 8 = [$]. The final result will be [$25]
-- Value 1.9: Suffix value - a letter or group of letters added to the end of the result
Ex: The result = [25], Value 9 = [ VND]. The final result will be [25 VND]
- Value 2: The index of start column to be verified. Default is the index of first column [1]
- Value 3: The index of end column to be verified. Default is getting the last column
NOTE: The maximum index of end row is the index of end row on per page (It isn't on all pages)
- Value 4: The index of start row to be verified. Default is the index of first row [1]
- Value 5: The index of end row to be verified. Default is getting the last row
- Value 6: xpath of [Next] button if want to verify data on all pages. If [Value 6] is empty, it will be verified on current page
- Value 7: The stop condition when using [Next] button. It's the xpath of disabled [Next] button
- Value 8: The name of table in 'Extension' Sheet contains specified value list to be removed in the value of each cell</t>
  </si>
  <si>
    <t>WS</t>
  </si>
  <si>
    <t>Web Service</t>
  </si>
  <si>
    <t>RUN SOAPUI</t>
  </si>
  <si>
    <t>Run SOAPUI Test case
Value 1(*): SOAPUI Bin Folder is defined in [application.properties] (Ex: C:\\Program Files\\SmartBear\\SoapUI-5.4.0\\bin)
Value 2(*): File name of project is defined in [application.properties] (Ex: SampleSOAPProject.xml). All project is stored in [com.project.resource.ws]
Value 3(*): Test Suite name is defined in [application.properties](Ex: TestSuite 1)
Value 4(*): Test Case name is defined in [application.properties](Ex: TestCase 1)
Value 5(*): Folder contains response file is defined in [application.properties] get from Groovy Script in Project xml file (Ex: D:\\SOAP)
Value 6(*): Response file type (xml/ json)</t>
  </si>
  <si>
    <t>DB</t>
  </si>
  <si>
    <t>Database</t>
  </si>
  <si>
    <t>VERIFY SPECIFIED VALUE LIST DB</t>
  </si>
  <si>
    <t>Verify specified value list with the result of executing SQL Statement
- Value 1(*): The name of table contains specified value list in 'Extension' Sheet
- Value 2(*): The SQL Statement is defined in [sqlStatement.properties] to be executed. The result of executing SQL Statement will be compared to the specified value list</t>
  </si>
  <si>
    <t>SQL UPDATE</t>
  </si>
  <si>
    <t>Execute SQL statement (INSERT/ UPDATE/ DELETE)
- Value 1(*): The SQL statement is defined in [sqlStatement.properties] to be executed</t>
  </si>
  <si>
    <t>SQL BATCH UPDATE</t>
  </si>
  <si>
    <t>Execute bulk SQL statement (INSERT/ UPDATE/ DELETE)
- Value 1(*): The name of table contains specified SQL statement list in 'Extension' Sheet. All specified SQL statements will be executed</t>
  </si>
  <si>
    <t>SQL COMPARE</t>
  </si>
  <si>
    <t>Compare two results are executed from two SQL Statements
- Value 1(*): The SQL Statement  1 is defined in [sqlStatement.properties] to be executed
- Value 2(*): The SQL Statement  2 is defined in [sqlStatement.properties] to be executed</t>
  </si>
  <si>
    <t>CHANGE DATABASE</t>
  </si>
  <si>
    <t>Change Database Configuration
- Value 1(*): Connection details is defined in [application.properties]. Ex: jdbc:oracle:thin:@10.10.30.159:1521/xe
- Value 2(*): Username is defined in [application.properties]
- Value 3(*): Password is defined in [application.properties]</t>
  </si>
  <si>
    <t>File</t>
  </si>
  <si>
    <t>Excel</t>
  </si>
  <si>
    <t>VERIFY EXCEL DATA SPECIFIED LIST</t>
  </si>
  <si>
    <t>Verify Excel data with specified value list
- Value 1(*): 
[DOWNLOADED FILE] if verifying Excel data is downloaded in [VERIFY DOWNLOADED FILE] Keyword
Local file path is defined in [application.properties] if verifying Excel data in local file
- Value 2(*): The name of table contains specified value list in 'Extension' Sheet. All specified values will be compared to the data of Excel file
- Value 3: The index of start column to be verified in Excel file. Default is the index of first column [1]
- Value 4: The index of end column to be verified in Excel file. Default is getting the last column
- Value 5: The index of start row to be verified in Excel File. Default is the index of first row [1]
- Value 6: The index of end row to be verified in Excel file. Default is getting the last row
- Value 7: The index of Sheet in Excel file. Default is the first Sheet [1]</t>
  </si>
  <si>
    <t>VERIFY EXCEL DATA DB</t>
  </si>
  <si>
    <t>Verify Excel data with the result of executing SQL Statement
- Value 1(*): 
[DOWNLOADED FILE] if verifying Excel data is downloaded in [VERIFY DOWNLOADED FILE] Keyword
Local file path is defined in [application.properties] if verifying Excel data in local file
- Value 2(*): The SQL Statement to be executed (defined in [sqlStatement.properties]). The result of executing SQL Statement will be compared to the data of Excel file
- Value 3: The index of start column to be verified in Excel file. Default is the index of first column [1]
- Value 4: The index of end column to be verified in Excel file. Default is getting the last column
- Value 5: The index of start row to be verified in Excel File. Default is the index of first row [1]
- Value 6: The index of end row to be verified in Excel file. Default is getting the last row</t>
  </si>
  <si>
    <t>VERIFY EXCEL DATA UI</t>
  </si>
  <si>
    <t>Verify Excel data with the values getting from data table on UI
- Value 1(*): 
[DOWNLOADED FILE] if verifying Excel data is downloaded in [VERIFY DOWNLOADED FILE] Keyword
Local file path is defined in [application.properties] if verifying Excel data in local file
- Value 2(*): The name of table contains information to get values from data table on UI in 'Extension' Sheet. All values will be compared to the data of Excel file
-- Value 2.1(*): Locator of [tbody] element
-- Value 2.2: The index of start column to be verified. Default is the index of first column [1]
-- Value 2.3: The index of end column to be verified. Default is getting the last column
NOTE: The maximum index of end row is the index of end row on per page (It isn't on all pages)
-- Value 2.4: The index of start row to be verified. Default is the index of first row [1]
-- Value 2.5: The index of end row to be verified. Default is getting the last row
-- Value 2.6: xpath of [Next] button if want to verify data on all pages. If [Value 6] is empty, it will be verified on current page
-- Value 2.7: The stop condition when using [Next] button. It's the xpath of disabled [Next] button
-- Value 2.8: The name of table in 'Extension' Sheet contains specified value list to be removed in the value of each cell
- Value 3: The index of start column to be verified in Excel file. Default is the index of first column [1]
- Value 4: The index of end column to be verified in Excel file. Default is getting the last column
- Value 5: The index of start row to be verified in Excel File. Default is the index of first row [1]
- Value 6: The index of end row to be verified in Excel file. Default is getting the last row</t>
  </si>
  <si>
    <t>CSV</t>
  </si>
  <si>
    <t>VERIFY CSV DATA SPECIFIED LIST</t>
  </si>
  <si>
    <t>Verify CSV data with specified value list
- Value 1(*): 
[DOWNLOADED FILE] if verifying CSV data is downloaded in [VERIFY DOWNLOADED FILE] Keyword
Local file path is defined in [application.properties] if verifying CSV data in local file
- Value 2(*): The name of table contains specified value list in 'Extension' Sheet. All specified values will be compared to the data of CSV file
- Value 3: The index of start column to be verified in CSV file. Default is the index of first column [1]
- Value 4: The index of end column to be verified in CSV file. Default is getting the last column
- Value 5: The index of start row to be verified in CSV File. Default is the index of first row [1]
- Value 6: The index of end row to be verified in CSV file. Default is getting the last row</t>
  </si>
  <si>
    <t>VERIFY CSV DATA DB</t>
  </si>
  <si>
    <t>Verify CSV data with the result of executing SQL Statement
- Value 1(*): 
[DOWNLOADED FILE] if verifying CSV data is downloaded in [VERIFY DOWNLOADED FILE] Keyword
Local file path is defined in [application.properties] if verifying CSV data in local file
- Value 2(*): The SQL Statement to be executed (defined in [sqlStatement.properties]). The result of executing SQL Statement will be compared to the data of CSV file
- Value 3: The index of start column to be verified in CSV file. Default is the index of first column [1]
- Value 4: The index of end column to be verified in CSV file. Default is getting the last column
- Value 5: The index of start row to be verified in CSV File. Default is the index of first row [1]
- Value 6: The index of end row to be verified in CSV file. Default is getting the last row</t>
  </si>
  <si>
    <t>VERIFY CSV DATA UI</t>
  </si>
  <si>
    <t>Verify CSV data with the values getting from data table on UI
- Value 1(*): 
[DOWNLOADED FILE] if verifying CSV data is downloaded in [VERIFY DOWNLOADED FILE] Keyword
Local file path is defined in [application.properties] if verifying CSV data in local file
- Value 2(*): The name of table contains information to get all values from data table on UI in 'Extension' Sheet. All values will be compared to the data of CSV file
-- Value 2.1(*): Locator of [tbody] element
-- Value 2.2: The index of start column to be verified. Default is the index of first column [1]
-- Value 2.3: The index of end column to be verified. Default is getting the last column
NOTE: The maximum index of end row is the index of end row on per page (It isn't on all pages)
-- Value 2.4: The index of start row to be verified. Default is the index of first row [1]
-- Value 2.5: The index of end row to be verified. Default is getting the last row
-- Value 2.6: xpath of [Next] button if want to verify data on all pages. If [Value 6] is empty, it will be verified on current page
-- Value 2.7: The stop condition when using [Next] button. It's the xpath of disabled [Next] button
-- Value 2.8: The name of table in 'Extension' Sheet contains specified value list to be removed in the value of each cell
- Value 3: The index of start column to be verified in CSV file. Default is the index of first column [1]
- Value 4: The index of end column to be verified in CSV file. Default is getting the last column
- Value 5: The index of start row to be verified in CSV File. Default is the index of first row [1]
- Value 6: The index of end row to be verified in CSV file. Default is getting the last row</t>
  </si>
  <si>
    <t>System</t>
  </si>
  <si>
    <t>Variable</t>
  </si>
  <si>
    <t>SET VARIABLE</t>
  </si>
  <si>
    <t>Variable can be utilized as parameters. It can be used in all values of all Keywords, Locators, SQL Statements
- Value 1(*): Variable name. It must be start with [${] and end with [}]. Ex: ${Variable1}
- Value 2(*): The value of variable
Some special values:
-- [TODAY()] will be the current date with format is defined in [Value 3]
-- PAST() will be the date in past with format is defined in [Value 3] and [n] days before the current date is defined in [Value 4]
-- FUTURE() will be the date in future with format is defined in [Value 3] and [n] days before the current date is defined in [Value 4]
-- RANDOMTEXT() will be the random text with the length is defined in [Value 3]
-- RANDOMEMAIL() will be the random email (XXX@test.org) with the length is defined in [Value 3]
-- RANDOMNUMBER() will be the random number with the min value is defined in [Value 3] and max value is defined in [Value 4]
-- SQL will be the result of executing the SQL Statement (sqlStatement.properties) is defined in [Value 3]</t>
  </si>
  <si>
    <t>Auto IT</t>
  </si>
  <si>
    <t>EXECUTE AUTOIT</t>
  </si>
  <si>
    <t>Execute AutoIT file after compiling script (.exe)
- Value 1(*): Local file path is defined in [application.properties]</t>
  </si>
  <si>
    <t>File Transfer</t>
  </si>
  <si>
    <t>FTP</t>
  </si>
  <si>
    <t>FTP DOWNLOAD</t>
  </si>
  <si>
    <t>Download file from FTP/ SFTP Server
- Value 1(*): Protocol (FTP / SFTP)
- Value 2(*): Host
- Value 3: Port
- Value 4(*): Username
- Value 5(*): Password
- Value 6(*): File path on FTP/ SFTP Server to be downloaded (Ex: /Upload/FileA.txt)
- Value 7(*): Local file path is defined in [application.properties] to be stored (Ex: D:\\FTP Demo\\FileA.txt)</t>
  </si>
  <si>
    <t>FTP UPLOAD</t>
  </si>
  <si>
    <t>Upload file to FTP/ SFTP Server
- Value 1(*): Protocol (FTP / SFTP)
- Value 2(*): Host
- Value 3: Port
- Value 4(*): Username
- Value 5(*): Password
- Value 7(*): Local file path is defined in [application.properties] to be uploaded (Ex: D:\\FTP Demo\\FileA.txt)
- Value 6(*): File path on FTP/ SFTP Server to be stored (Ex: /Upload/FileA.txt)</t>
  </si>
  <si>
    <t>FTP DELETE</t>
  </si>
  <si>
    <t>Delete file from FTP/ SFTP Server
- Value 1(*): Protocol (FTP / SFTP)
- Value 2(*): Host
- Value 3: Port
- Value 4(*): Username
- Value 5(*): Password
- Value 6(*): File path on FTP/ SFTP Server to be deleted (Ex: /Upload/FileA.txt)</t>
  </si>
  <si>
    <t>1</t>
  </si>
  <si>
    <t>2</t>
  </si>
  <si>
    <t>3</t>
  </si>
  <si>
    <t>4</t>
  </si>
  <si>
    <t>SKIP</t>
  </si>
  <si>
    <t>10</t>
  </si>
  <si>
    <t>PASS</t>
  </si>
  <si>
    <t>FAIL</t>
  </si>
  <si>
    <t>ACTUAL: 
File01.txt  
File02.txt  
File03.txt
EXPECTED: 
File01.txt
File02.txt
File03.txt</t>
  </si>
  <si>
    <t>https://www.dropbox.com/s/s97280przowz7yx/20181121_113030.png?dl=0</t>
  </si>
  <si>
    <t>Grand Total</t>
  </si>
  <si>
    <t>11/21/2018 11:29:57</t>
  </si>
  <si>
    <t>11/21/2018 11:30:58</t>
  </si>
  <si>
    <t>1 min, 0 sec</t>
  </si>
</sst>
</file>

<file path=xl/styles.xml><?xml version="1.0" encoding="utf-8"?>
<styleSheet xmlns="http://schemas.openxmlformats.org/spreadsheetml/2006/main">
  <numFmts count="14">
    <numFmt numFmtId="3" formatCode="#,##0"/>
    <numFmt numFmtId="5" formatCode="#,##0\ &quot;$&quot;;\-#,##0\ &quot;$&quot;"/>
    <numFmt numFmtId="6" formatCode="#,##0\ &quot;$&quot;;[Red]\-#,##0\ &quot;$&quot;"/>
    <numFmt numFmtId="7" formatCode="#,##0.00\ &quot;$&quot;;\-#,##0.00\ &quot;$&quot;"/>
    <numFmt numFmtId="8" formatCode="#,##0.00\ &quot;$&quot;;[Red]\-#,##0.00\ &quot;$&quot;"/>
    <numFmt numFmtId="10" formatCode="0.00%"/>
    <numFmt numFmtId="15" formatCode="D-MMM-YY"/>
    <numFmt numFmtId="16" formatCode="D-MMM"/>
    <numFmt numFmtId="41" formatCode="_-* #,##0\ _$_-;\-* #,##0\ _$_-;_-* &quot;-&quot;\ _$_-;_-@_-"/>
    <numFmt numFmtId="42" formatCode="_-* #,##0\ &quot;$&quot;_-;\-* #,##0\ &quot;$&quot;_-;_-* &quot;-&quot;\ &quot;$&quot;_-;_-@_-"/>
    <numFmt numFmtId="43" formatCode="_-* #,##0.00\ _$_-;\-* #,##0.00\ _$_-;_-* &quot;-&quot;??\ _$_-;_-@_-"/>
    <numFmt numFmtId="44" formatCode="_-* #,##0.00\ &quot;$&quot;_-;\-* #,##0.00\ &quot;$&quot;_-;_-* &quot;-&quot;??\ &quot;$&quot;_-;_-@_-"/>
    <numFmt numFmtId="164" formatCode="0.0"/>
    <numFmt numFmtId="165" formatCode="M/D/YYYY;@"/>
  </numFmts>
  <fonts count="114">
    <font>
      <name val="Calibri"/>
      <family val="2"/>
      <color rgb="FF000000"/>
      <sz val="11"/>
      <extLst>
        <ext uri="smNativeData">
          <pm:charSpec xmlns:pm="smNativeData" id="1542774493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Arial"/>
      <family val="2"/>
      <color rgb="FF000000"/>
      <sz val="10"/>
      <extLst>
        <ext uri="smNativeData">
          <pm:charSpec xmlns:pm="smNativeData" id="1542774493" kern="1" ulstyle="none">
            <pm:latin face="Arial" lang="default" sz="200"/>
            <pm:cs face="Times New Roman" lang="default" sz="200"/>
            <pm:ea face="SimSun" lang="default" sz="200"/>
          </pm:charSpec>
        </ext>
      </extLst>
    </font>
    <font>
      <name val="Calibri"/>
      <family val="2"/>
      <b/>
      <color rgb="FFFFFFFF"/>
      <sz val="11"/>
      <extLst>
        <ext uri="smNativeData">
          <pm:charSpec xmlns:pm="smNativeData" fgClr="FFFFFF" id="1542774493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Calibri"/>
      <family val="2"/>
      <color rgb="FFFFFFFF"/>
      <sz val="11"/>
      <extLst>
        <ext uri="smNativeData">
          <pm:charSpec xmlns:pm="smNativeData" fgClr="FFFFFF" id="1542774493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Calibri"/>
      <family val="2"/>
      <b/>
      <color rgb="FFFA7D00"/>
      <sz val="11"/>
      <extLst>
        <ext uri="smNativeData">
          <pm:charSpec xmlns:pm="smNativeData" fgClr="FA7D00" id="1542774493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Aharoni"/>
      <b/>
      <color rgb="FF000000"/>
      <sz val="20"/>
      <extLst>
        <ext uri="smNativeData">
          <pm:charSpec xmlns:pm="smNativeData" id="1542774493" kern="1" ulstyle="none">
            <pm:latin face="Aharoni" lang="default" sz="400" weight="bold"/>
            <pm:cs face="Times New Roman" lang="default" sz="400" weight="bold"/>
            <pm:ea face="SimSun" lang="default" sz="400" weight="bold"/>
          </pm:charSpec>
        </ext>
      </extLst>
    </font>
    <font>
      <name val="Calibri"/>
      <family val="2"/>
      <b/>
      <color rgb="FF000000"/>
      <sz val="11"/>
      <extLst>
        <ext uri="smNativeData">
          <pm:charSpec xmlns:pm="smNativeData" id="1542774493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Arial"/>
      <family val="2"/>
      <color rgb="FF000000"/>
      <sz val="12"/>
      <extLst>
        <ext uri="smNativeData">
          <pm:charSpec xmlns:pm="smNativeData" id="1542774493" kern="1" ulstyle="none">
            <pm:latin face="Arial" lang="default" sz="240"/>
            <pm:cs face="Times New Roman" lang="default" sz="240"/>
            <pm:ea face="SimSun" lang="default" sz="240"/>
          </pm:charSpec>
        </ext>
      </extLst>
    </font>
    <font>
      <name val="Arial"/>
      <family val="2"/>
      <b/>
      <color rgb="FF000000"/>
      <sz val="12"/>
      <extLst>
        <ext uri="smNativeData">
          <pm:charSpec xmlns:pm="smNativeData" id="1542774493" kern="1" ulstyle="none">
            <pm:latin face="Arial" lang="default" sz="240" weight="bold"/>
            <pm:cs face="Times New Roman" lang="default" sz="240" weight="bold"/>
            <pm:ea face="SimSun" lang="default" sz="240" weight="bold"/>
          </pm:charSpec>
        </ext>
      </extLst>
    </font>
    <font>
      <name val="Calibri"/>
      <family val="2"/>
      <color rgb="FFE26B0A"/>
      <sz val="11"/>
      <extLst>
        <ext uri="smNativeData">
          <pm:charSpec xmlns:pm="smNativeData" fgClr="E26B0A" id="1542774493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ＭＳ Ｐゴシック"/>
      <color rgb="FF000000"/>
      <sz val="11"/>
      <extLst>
        <ext uri="smNativeData">
          <pm:charSpec xmlns:pm="smNativeData" id="1542774493" kern="1" ulstyle="none">
            <pm:latin face="ＭＳ Ｐゴシック" lang="default" sz="220"/>
            <pm:cs face="Times New Roman" lang="default" sz="220"/>
            <pm:ea face="SimSun" lang="default" sz="220"/>
          </pm:charSpec>
        </ext>
      </extLst>
    </font>
    <font>
      <name val="Tahoma"/>
      <family val="2"/>
      <color rgb="FF000000"/>
      <sz val="10"/>
      <extLst>
        <ext uri="smNativeData">
          <pm:charSpec xmlns:pm="smNativeData" id="1542774493" kern="1" ulstyle="none">
            <pm:latin face="Tahoma" lang="default" sz="200"/>
            <pm:cs face="Times New Roman" lang="default" sz="200"/>
            <pm:ea face="SimSun" lang="default" sz="200"/>
          </pm:charSpec>
        </ext>
      </extLst>
    </font>
    <font>
      <name val="Arial"/>
      <family val="2"/>
      <b/>
      <color rgb="FF000000"/>
      <sz val="10"/>
      <extLst>
        <ext uri="smNativeData">
          <pm:charSpec xmlns:pm="smNativeData" id="1542774493" kern="1" ulstyle="none">
            <pm:latin face="Arial" lang="default" sz="200" weight="bold"/>
            <pm:cs face="Times New Roman" lang="default" sz="200" weight="bold"/>
            <pm:ea face="SimSun" lang="default" sz="200" weight="bold"/>
          </pm:charSpec>
        </ext>
      </extLst>
    </font>
    <font>
      <name val="Calibri"/>
      <family val="2"/>
      <b/>
      <color rgb="FFFF0000"/>
      <sz val="11"/>
      <extLst>
        <ext uri="smNativeData">
          <pm:charSpec xmlns:pm="smNativeData" fgClr="FF0000" id="1542774493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</fonts>
  <fills count="34">
    <fill>
      <patternFill patternType="none"/>
    </fill>
    <fill>
      <patternFill patternType="gray125"/>
    </fill>
    <fill>
      <patternFill patternType="solid">
        <fgColor rgb="FFF2F2F2"/>
        <bgColor rgb="FFFFFFFF"/>
        <extLst>
          <ext uri="smNativeData">
            <pm:shade xmlns:pm="smNativeData" bgClr="00FFFFFF" bgLvl="0" fgClr="00F2F2F2" fgLvl="100" id="1542774493" type="1"/>
          </ext>
        </extLst>
      </patternFill>
    </fill>
    <fill>
      <patternFill patternType="solid">
        <fgColor rgb="FF8064A2"/>
        <bgColor rgb="FFFFFFFF"/>
        <extLst>
          <ext uri="smNativeData">
            <pm:shade xmlns:pm="smNativeData" bgClr="00FFFFFF" bgLvl="0" fgClr="008064A2" fgLvl="100" id="1542774493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774493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774493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774493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774493" type="1"/>
          </ext>
        </extLst>
      </patternFill>
    </fill>
    <fill>
      <patternFill patternType="none"/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774493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FFFFFF" bgLvl="0" fgClr="00FFFFFF" fgLvl="100" id="1542774493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FFFFFF" bgLvl="0" fgClr="00FFFFFF" fgLvl="100" id="1542774493" type="1"/>
          </ext>
        </extLst>
      </patternFill>
    </fill>
    <fill>
      <patternFill patternType="none"/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774493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774493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774493" type="1"/>
          </ext>
        </extLst>
      </patternFill>
    </fill>
    <fill>
      <patternFill patternType="solid">
        <fgColor rgb="FFFFFF00"/>
        <bgColor rgb="FFFFFFFF"/>
        <extLst>
          <ext uri="smNativeData">
            <pm:shade xmlns:pm="smNativeData" bgClr="00000000" bgLvl="0" fgClr="00FFFF00" fgLvl="100" id="1542774493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100" fgClr="00FFFFFF" fgLvl="100" id="1542774493" type="1"/>
          </ext>
        </extLst>
      </patternFill>
    </fill>
    <fill>
      <patternFill patternType="solid">
        <fgColor rgb="FFF2F2F2"/>
        <bgColor rgb="FFFFFFFF"/>
        <extLst>
          <ext uri="smNativeData">
            <pm:shade xmlns:pm="smNativeData" bgClr="00000000" bgLvl="0" fgClr="00F2F2F2" fgLvl="100" id="1542774493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774493" type="1"/>
          </ext>
        </extLst>
      </patternFill>
    </fill>
    <fill>
      <patternFill patternType="solid">
        <fgColor rgb="FF800101"/>
        <bgColor rgb="FFFFFFFF"/>
        <extLst>
          <ext uri="smNativeData">
            <pm:shade xmlns:pm="smNativeData" bgClr="00000000" bgLvl="50" fgClr="00FF0000" fgLvl="50" id="1542774493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FFFFFF" bgLvl="0" fgClr="00538DD5" fgLvl="100" id="1542774493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FFFFFF" bgLvl="0" fgClr="00538DD5" fgLvl="100" id="1542774493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774493" type="1"/>
          </ext>
        </extLst>
      </patternFill>
    </fill>
    <fill>
      <patternFill patternType="none"/>
    </fill>
    <fill>
      <patternFill patternType="solid">
        <fgColor rgb="FF538DD5"/>
        <bgColor rgb="FFFFFFFF"/>
        <extLst>
          <ext uri="smNativeData">
            <pm:shade xmlns:pm="smNativeData" bgClr="00FFFFFF" bgLvl="0" fgClr="00538DD5" fgLvl="100" id="1542774493" type="1"/>
          </ext>
        </extLst>
      </patternFill>
    </fill>
    <fill>
      <patternFill patternType="none">
        <fgColor indexed="17"/>
      </patternFill>
    </fill>
    <fill>
      <patternFill patternType="solid">
        <fgColor indexed="17"/>
      </patternFill>
    </fill>
    <fill>
      <patternFill patternType="none">
        <fgColor indexed="10"/>
      </patternFill>
    </fill>
    <fill>
      <patternFill patternType="solid">
        <fgColor indexed="10"/>
      </patternFill>
    </fill>
    <fill>
      <patternFill patternType="none">
        <fgColor indexed="13"/>
      </patternFill>
    </fill>
    <fill>
      <patternFill patternType="solid">
        <fgColor indexed="13"/>
      </patternFill>
    </fill>
    <fill>
      <patternFill patternType="none">
        <fgColor indexed="12"/>
      </patternFill>
    </fill>
    <fill>
      <patternFill patternType="solid">
        <fgColor indexed="12"/>
      </patternFill>
    </fill>
  </fills>
  <borders count="29"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774493"/>
        </ext>
      </extLst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extLst>
        <ext uri="smNativeData">
          <pm:border xmlns:pm="smNativeData" id="1542774493">
            <pm:line dist="20" position="top" rgb="7F7F7F" style="0" type="1" width="20" width2="20"/>
            <pm:line dist="20" position="bottom" rgb="7F7F7F" style="0" type="1" width="20" width2="20"/>
            <pm:line dist="20" position="left" rgb="7F7F7F" style="0" type="1" width="20" width2="20"/>
            <pm:line dist="20" position="right" rgb="7F7F7F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774493"/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74493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74493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74493">
            <pm:line dist="20" position="top" rgb="000000" style="0" type="1" width="20" width2="20"/>
            <pm:line dist="20" position="bottom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74493">
            <pm:line dist="20" position="top" rgb="000000" style="0" type="1" width="20" width2="20"/>
            <pm:line dist="20" position="bottom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74493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74493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774493"/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74493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7F7F7F"/>
      </bottom>
      <extLst>
        <ext uri="smNativeData">
          <pm:border xmlns:pm="smNativeData" id="1542774493">
            <pm:line dist="20" position="top" rgb="000000" style="0" type="1" width="20" width2="20"/>
            <pm:line dist="20" position="bottom" rgb="7F7F7F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74493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74493">
            <pm:line dist="20" position="top" rgb="000000" style="0" type="1" width="20" width2="20"/>
            <pm:line dist="20" position="bottom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74493">
            <pm:line dist="20" position="top" rgb="000000" style="0" type="1" width="20" width2="20"/>
            <pm:line dist="20" position="bottom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74493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774493"/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74493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none">
        <color rgb="FF000000"/>
      </bottom>
      <extLst>
        <ext uri="smNativeData">
          <pm:border xmlns:pm="smNativeData" id="1542774493">
            <pm:line dist="20" position="top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74493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74493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774493"/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774493"/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74493">
            <pm:line dist="20" position="top" rgb="000000" style="0" type="1" width="20" width2="20"/>
            <pm:line dist="20" position="bottom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74493">
            <pm:line dist="20" position="top" rgb="000000" style="0" type="1" width="20" width2="20"/>
            <pm:line dist="20" position="bottom" rgb="000000" style="0" type="1" width="20" width2="20"/>
            <pm:line dist="20" position="right" rgb="000000" style="0" type="1" width="20" width2="20"/>
          </pm:border>
        </ext>
      </extLst>
    </border>
    <border>
      <bottom style="thin"/>
    </border>
    <border>
      <top style="thin"/>
      <bottom style="thin"/>
    </border>
    <border>
      <right style="thin"/>
      <top style="thin"/>
      <bottom style="thin"/>
    </border>
    <border>
      <left style="thin"/>
      <right style="thin"/>
      <top style="thin"/>
      <bottom style="thin"/>
    </border>
  </borders>
  <cellStyleXfs count="360"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0" applyBorder="1" applyFill="1" applyFont="1" applyNumberFormat="0" applyProtection="0" borderId="1" fillId="2" fontId="4" numFmtId="0"/>
    <xf applyAlignment="0" applyBorder="0" applyFill="1" applyFont="1" applyNumberFormat="0" applyProtection="0" borderId="2" fillId="3" fontId="3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</cellStyleXfs>
  <cellXfs count="574">
    <xf borderId="0" fillId="0" fontId="0" numFmtId="0" xfId="0"/>
    <xf borderId="0" fillId="0" fontId="0" numFmtId="0" xfId="1"/>
    <xf borderId="0" fillId="0" fontId="0" numFmtId="0" xfId="2"/>
    <xf borderId="1" fillId="2" fontId="4" numFmtId="0" xfId="3"/>
    <xf borderId="2" fillId="3" fontId="3" numFmtId="0" xfId="4"/>
    <xf borderId="0" fillId="0" fontId="1" numFmtId="0" xfId="5"/>
    <xf borderId="0" fillId="0" fontId="1" numFmtId="0" xfId="6"/>
    <xf borderId="0" fillId="0" fontId="1" numFmtId="0" xfId="7"/>
    <xf borderId="0" fillId="0" fontId="10" numFmtId="0" xfId="8"/>
    <xf borderId="0" fillId="0" fontId="1" numFmtId="0" xfId="9"/>
    <xf borderId="0" fillId="0" fontId="1" numFmtId="0" xfId="10"/>
    <xf borderId="0" fillId="0" fontId="1" numFmtId="0" xfId="11"/>
    <xf borderId="0" fillId="0" fontId="0" numFmtId="0" xfId="12"/>
    <xf borderId="0" fillId="0" fontId="0" numFmtId="0" xfId="13"/>
    <xf borderId="0" fillId="0" fontId="0" numFmtId="0" xfId="14"/>
    <xf borderId="0" fillId="0" fontId="0" numFmtId="0" xfId="15"/>
    <xf borderId="0" fillId="0" fontId="1" numFmtId="0" xfId="16"/>
    <xf borderId="0" fillId="0" fontId="10" numFmtId="0" xfId="17"/>
    <xf borderId="0" fillId="0" fontId="1" numFmtId="0" xfId="18"/>
    <xf borderId="0" fillId="0" fontId="1" numFmtId="0" xfId="19"/>
    <xf borderId="0" fillId="0" fontId="1" numFmtId="0" xfId="20"/>
    <xf borderId="0" fillId="0" fontId="0" numFmtId="0" xfId="21"/>
    <xf borderId="0" fillId="0" fontId="0" numFmtId="0" xfId="22"/>
    <xf borderId="0" fillId="0" fontId="0" numFmtId="0" xfId="23"/>
    <xf borderId="0" fillId="0" fontId="1" numFmtId="0" xfId="24"/>
    <xf borderId="0" fillId="0" fontId="10" numFmtId="0" xfId="25"/>
    <xf borderId="0" fillId="0" fontId="1" numFmtId="0" xfId="26"/>
    <xf borderId="0" fillId="0" fontId="1" numFmtId="0" xfId="27"/>
    <xf borderId="0" fillId="0" fontId="1" numFmtId="0" xfId="28"/>
    <xf borderId="0" fillId="0" fontId="0" numFmtId="0" xfId="29"/>
    <xf borderId="0" fillId="0" fontId="1" numFmtId="0" xfId="30"/>
    <xf borderId="0" fillId="0" fontId="0" numFmtId="0" xfId="31"/>
    <xf borderId="0" fillId="0" fontId="10" numFmtId="0" xfId="32"/>
    <xf borderId="0" fillId="0" fontId="0" numFmtId="0" xfId="33"/>
    <xf borderId="0" fillId="0" fontId="1" numFmtId="0" xfId="34"/>
    <xf borderId="0" fillId="0" fontId="0" numFmtId="0" xfId="35"/>
    <xf borderId="0" fillId="0" fontId="0" numFmtId="0" xfId="36"/>
    <xf borderId="0" fillId="0" fontId="0" numFmtId="0" xfId="37"/>
    <xf borderId="0" fillId="0" fontId="1" numFmtId="0" xfId="38"/>
    <xf borderId="0" fillId="0" fontId="1" numFmtId="0" xfId="39"/>
    <xf borderId="0" fillId="0" fontId="1" numFmtId="0" xfId="40"/>
    <xf borderId="0" fillId="0" fontId="0" numFmtId="0" xfId="41"/>
    <xf borderId="0" fillId="0" fontId="0" numFmtId="0" xfId="42"/>
    <xf borderId="0" fillId="0" fontId="0" numFmtId="0" xfId="43"/>
    <xf borderId="0" fillId="0" fontId="1" numFmtId="0" xfId="44"/>
    <xf borderId="0" fillId="0" fontId="10" numFmtId="0" xfId="45"/>
    <xf borderId="0" fillId="0" fontId="1" numFmtId="0" xfId="46"/>
    <xf borderId="0" fillId="0" fontId="1" numFmtId="0" xfId="47"/>
    <xf borderId="0" fillId="0" fontId="1" numFmtId="0" xfId="48"/>
    <xf borderId="0" fillId="0" fontId="0" numFmtId="0" xfId="49"/>
    <xf borderId="0" fillId="0" fontId="0" numFmtId="0" xfId="50"/>
    <xf borderId="0" fillId="0" fontId="0" numFmtId="0" xfId="51"/>
    <xf borderId="0" fillId="0" fontId="1" numFmtId="0" xfId="52"/>
    <xf borderId="0" fillId="0" fontId="1" numFmtId="0" xfId="53"/>
    <xf borderId="0" fillId="0" fontId="1" numFmtId="0" xfId="54"/>
    <xf borderId="0" fillId="0" fontId="1" numFmtId="0" xfId="55"/>
    <xf borderId="0" fillId="0" fontId="0" numFmtId="0" xfId="56"/>
    <xf borderId="0" fillId="0" fontId="0" numFmtId="0" xfId="57"/>
    <xf borderId="0" fillId="0" fontId="0" numFmtId="0" xfId="58"/>
    <xf borderId="0" fillId="0" fontId="1" numFmtId="0" xfId="59"/>
    <xf borderId="0" fillId="0" fontId="10" numFmtId="0" xfId="60"/>
    <xf borderId="0" fillId="0" fontId="1" numFmtId="0" xfId="61"/>
    <xf borderId="0" fillId="0" fontId="1" numFmtId="0" xfId="62"/>
    <xf borderId="0" fillId="0" fontId="0" numFmtId="0" xfId="63"/>
    <xf borderId="0" fillId="0" fontId="0" numFmtId="0" xfId="64"/>
    <xf borderId="0" fillId="0" fontId="0" numFmtId="0" xfId="65"/>
    <xf borderId="0" fillId="0" fontId="0" numFmtId="0" xfId="66"/>
    <xf borderId="0" fillId="0" fontId="1" numFmtId="0" xfId="67"/>
    <xf borderId="0" fillId="0" fontId="1" numFmtId="0" xfId="68"/>
    <xf borderId="0" fillId="0" fontId="1" numFmtId="0" xfId="69"/>
    <xf borderId="0" fillId="0" fontId="1" numFmtId="0" xfId="70"/>
    <xf borderId="0" fillId="0" fontId="0" numFmtId="0" xfId="71"/>
    <xf borderId="0" fillId="0" fontId="0" numFmtId="0" xfId="72"/>
    <xf borderId="0" fillId="0" fontId="0" numFmtId="0" xfId="73"/>
    <xf borderId="0" fillId="0" fontId="1" numFmtId="0" xfId="74"/>
    <xf borderId="0" fillId="0" fontId="10" numFmtId="0" xfId="75"/>
    <xf borderId="0" fillId="0" fontId="1" numFmtId="0" xfId="76"/>
    <xf borderId="0" fillId="0" fontId="1" numFmtId="0" xfId="77"/>
    <xf borderId="0" fillId="0" fontId="1" numFmtId="0" xfId="78"/>
    <xf borderId="0" fillId="0" fontId="0" numFmtId="0" xfId="79"/>
    <xf borderId="0" fillId="0" fontId="0" numFmtId="0" xfId="80"/>
    <xf borderId="0" fillId="0" fontId="0" numFmtId="0" xfId="81"/>
    <xf borderId="0" fillId="0" fontId="0" numFmtId="0" xfId="82"/>
    <xf borderId="0" fillId="0" fontId="1" numFmtId="0" xfId="83"/>
    <xf borderId="0" fillId="0" fontId="10" numFmtId="0" xfId="84"/>
    <xf borderId="0" fillId="0" fontId="1" numFmtId="0" xfId="85"/>
    <xf borderId="0" fillId="0" fontId="1" numFmtId="0" xfId="86"/>
    <xf borderId="0" fillId="0" fontId="1" numFmtId="0" xfId="87"/>
    <xf borderId="0" fillId="0" fontId="0" numFmtId="0" xfId="88"/>
    <xf borderId="0" fillId="0" fontId="0" numFmtId="0" xfId="89"/>
    <xf borderId="0" fillId="0" fontId="0" numFmtId="0" xfId="90"/>
    <xf borderId="0" fillId="0" fontId="1" numFmtId="0" xfId="91"/>
    <xf borderId="0" fillId="0" fontId="10" numFmtId="0" xfId="92"/>
    <xf borderId="0" fillId="0" fontId="1" numFmtId="0" xfId="93"/>
    <xf borderId="0" fillId="0" fontId="1" numFmtId="0" xfId="94"/>
    <xf borderId="0" fillId="0" fontId="1" numFmtId="0" xfId="95"/>
    <xf borderId="0" fillId="0" fontId="0" numFmtId="0" xfId="96"/>
    <xf borderId="0" fillId="0" fontId="0" numFmtId="0" xfId="97"/>
    <xf borderId="0" fillId="0" fontId="0" numFmtId="0" xfId="98"/>
    <xf borderId="0" fillId="0" fontId="1" numFmtId="0" xfId="99"/>
    <xf borderId="0" fillId="0" fontId="10" numFmtId="0" xfId="100"/>
    <xf borderId="0" fillId="0" fontId="1" numFmtId="0" xfId="101"/>
    <xf borderId="0" fillId="0" fontId="1" numFmtId="0" xfId="102"/>
    <xf borderId="0" fillId="0" fontId="1" numFmtId="0" xfId="103"/>
    <xf borderId="0" fillId="0" fontId="0" numFmtId="0" xfId="104"/>
    <xf borderId="0" fillId="0" fontId="0" numFmtId="0" xfId="105"/>
    <xf borderId="0" fillId="0" fontId="0" numFmtId="0" xfId="106"/>
    <xf borderId="0" fillId="0" fontId="0" numFmtId="0" xfId="107"/>
    <xf borderId="0" fillId="0" fontId="1" numFmtId="0" xfId="108"/>
    <xf borderId="0" fillId="0" fontId="10" numFmtId="0" xfId="109"/>
    <xf borderId="0" fillId="0" fontId="1" numFmtId="0" xfId="110"/>
    <xf borderId="0" fillId="0" fontId="1" numFmtId="0" xfId="111"/>
    <xf borderId="0" fillId="0" fontId="1" numFmtId="0" xfId="112"/>
    <xf borderId="0" fillId="0" fontId="0" numFmtId="0" xfId="113"/>
    <xf borderId="0" fillId="0" fontId="0" numFmtId="0" xfId="114"/>
    <xf borderId="0" fillId="0" fontId="0" numFmtId="0" xfId="115"/>
    <xf borderId="0" fillId="0" fontId="0" numFmtId="0" xfId="116"/>
    <xf borderId="0" fillId="0" fontId="1" numFmtId="0" xfId="117"/>
    <xf borderId="0" fillId="0" fontId="10" numFmtId="0" xfId="118"/>
    <xf borderId="0" fillId="0" fontId="1" numFmtId="0" xfId="119"/>
    <xf borderId="0" fillId="0" fontId="1" numFmtId="0" xfId="120"/>
    <xf borderId="0" fillId="0" fontId="1" numFmtId="0" xfId="121"/>
    <xf borderId="0" fillId="0" fontId="0" numFmtId="0" xfId="122"/>
    <xf borderId="0" fillId="0" fontId="0" numFmtId="0" xfId="123"/>
    <xf borderId="0" fillId="0" fontId="0" numFmtId="0" xfId="124"/>
    <xf borderId="0" fillId="0" fontId="1" numFmtId="0" xfId="125"/>
    <xf borderId="0" fillId="0" fontId="10" numFmtId="0" xfId="126"/>
    <xf borderId="0" fillId="0" fontId="1" numFmtId="0" xfId="127"/>
    <xf borderId="0" fillId="0" fontId="1" numFmtId="0" xfId="128"/>
    <xf borderId="0" fillId="0" fontId="1" numFmtId="0" xfId="129"/>
    <xf borderId="0" fillId="0" fontId="0" numFmtId="0" xfId="130"/>
    <xf borderId="0" fillId="0" fontId="0" numFmtId="0" xfId="131"/>
    <xf borderId="0" fillId="0" fontId="0" numFmtId="0" xfId="132"/>
    <xf borderId="0" fillId="0" fontId="0" numFmtId="0" xfId="133"/>
    <xf borderId="0" fillId="0" fontId="1" numFmtId="0" xfId="134"/>
    <xf borderId="0" fillId="0" fontId="10" numFmtId="0" xfId="135"/>
    <xf borderId="0" fillId="0" fontId="1" numFmtId="0" xfId="136"/>
    <xf borderId="0" fillId="0" fontId="1" numFmtId="0" xfId="137"/>
    <xf borderId="0" fillId="0" fontId="1" numFmtId="0" xfId="138"/>
    <xf borderId="0" fillId="0" fontId="0" numFmtId="0" xfId="139"/>
    <xf borderId="0" fillId="0" fontId="0" numFmtId="0" xfId="140"/>
    <xf borderId="0" fillId="0" fontId="0" numFmtId="0" xfId="141"/>
    <xf borderId="0" fillId="0" fontId="1" numFmtId="0" xfId="142"/>
    <xf borderId="0" fillId="0" fontId="10" numFmtId="0" xfId="143"/>
    <xf borderId="0" fillId="0" fontId="1" numFmtId="0" xfId="144"/>
    <xf borderId="0" fillId="0" fontId="1" numFmtId="0" xfId="145"/>
    <xf borderId="0" fillId="0" fontId="1" numFmtId="0" xfId="146"/>
    <xf borderId="0" fillId="0" fontId="0" numFmtId="0" xfId="147"/>
    <xf borderId="0" fillId="0" fontId="0" numFmtId="0" xfId="148"/>
    <xf borderId="0" fillId="0" fontId="0" numFmtId="0" xfId="149"/>
    <xf borderId="0" fillId="0" fontId="1" numFmtId="0" xfId="150"/>
    <xf borderId="0" fillId="0" fontId="10" numFmtId="0" xfId="151"/>
    <xf borderId="0" fillId="0" fontId="1" numFmtId="0" xfId="152"/>
    <xf borderId="0" fillId="0" fontId="1" numFmtId="0" xfId="153"/>
    <xf borderId="0" fillId="0" fontId="1" numFmtId="0" xfId="154"/>
    <xf borderId="0" fillId="0" fontId="0" numFmtId="0" xfId="155"/>
    <xf borderId="0" fillId="0" fontId="0" numFmtId="0" xfId="156"/>
    <xf borderId="0" fillId="0" fontId="0" numFmtId="0" xfId="157"/>
    <xf borderId="0" fillId="0" fontId="0" numFmtId="0" xfId="158"/>
    <xf borderId="0" fillId="0" fontId="1" numFmtId="0" xfId="159"/>
    <xf borderId="0" fillId="0" fontId="10" numFmtId="0" xfId="160"/>
    <xf borderId="0" fillId="0" fontId="1" numFmtId="0" xfId="161"/>
    <xf borderId="0" fillId="0" fontId="1" numFmtId="0" xfId="162"/>
    <xf borderId="0" fillId="0" fontId="1" numFmtId="0" xfId="163"/>
    <xf borderId="0" fillId="0" fontId="0" numFmtId="0" xfId="164"/>
    <xf borderId="0" fillId="0" fontId="0" numFmtId="0" xfId="165"/>
    <xf borderId="0" fillId="0" fontId="0" numFmtId="0" xfId="166"/>
    <xf borderId="0" fillId="0" fontId="0" numFmtId="0" xfId="167"/>
    <xf borderId="0" fillId="0" fontId="1" numFmtId="0" xfId="168"/>
    <xf borderId="0" fillId="0" fontId="10" numFmtId="0" xfId="169"/>
    <xf borderId="0" fillId="0" fontId="1" numFmtId="0" xfId="170"/>
    <xf borderId="0" fillId="0" fontId="1" numFmtId="0" xfId="171"/>
    <xf borderId="0" fillId="0" fontId="1" numFmtId="0" xfId="172"/>
    <xf borderId="0" fillId="0" fontId="0" numFmtId="0" xfId="173"/>
    <xf borderId="0" fillId="0" fontId="0" numFmtId="0" xfId="174"/>
    <xf borderId="0" fillId="0" fontId="0" numFmtId="0" xfId="175"/>
    <xf borderId="0" fillId="0" fontId="1" numFmtId="0" xfId="176"/>
    <xf borderId="0" fillId="0" fontId="10" numFmtId="0" xfId="177"/>
    <xf borderId="0" fillId="0" fontId="1" numFmtId="0" xfId="178"/>
    <xf borderId="0" fillId="0" fontId="1" numFmtId="0" xfId="179"/>
    <xf borderId="0" fillId="0" fontId="1" numFmtId="0" xfId="180"/>
    <xf borderId="0" fillId="0" fontId="0" numFmtId="0" xfId="181"/>
    <xf borderId="0" fillId="0" fontId="0" numFmtId="0" xfId="182"/>
    <xf borderId="0" fillId="0" fontId="0" numFmtId="0" xfId="183"/>
    <xf borderId="0" fillId="0" fontId="0" numFmtId="0" xfId="184"/>
    <xf borderId="0" fillId="0" fontId="1" numFmtId="0" xfId="185"/>
    <xf borderId="0" fillId="0" fontId="10" numFmtId="0" xfId="186"/>
    <xf borderId="0" fillId="0" fontId="1" numFmtId="0" xfId="187"/>
    <xf borderId="0" fillId="0" fontId="1" numFmtId="0" xfId="188"/>
    <xf borderId="0" fillId="0" fontId="1" numFmtId="0" xfId="189"/>
    <xf borderId="0" fillId="0" fontId="0" numFmtId="0" xfId="190"/>
    <xf borderId="0" fillId="0" fontId="0" numFmtId="0" xfId="191"/>
    <xf borderId="0" fillId="0" fontId="0" numFmtId="0" xfId="192"/>
    <xf borderId="0" fillId="0" fontId="0" numFmtId="0" xfId="193"/>
    <xf borderId="0" fillId="0" fontId="1" numFmtId="0" xfId="194"/>
    <xf borderId="0" fillId="0" fontId="10" numFmtId="0" xfId="195"/>
    <xf borderId="0" fillId="0" fontId="1" numFmtId="0" xfId="196"/>
    <xf borderId="0" fillId="0" fontId="1" numFmtId="0" xfId="197"/>
    <xf borderId="0" fillId="0" fontId="1" numFmtId="0" xfId="198"/>
    <xf borderId="0" fillId="0" fontId="0" numFmtId="0" xfId="199"/>
    <xf borderId="0" fillId="0" fontId="0" numFmtId="0" xfId="200"/>
    <xf borderId="0" fillId="0" fontId="0" numFmtId="0" xfId="201"/>
    <xf borderId="0" fillId="0" fontId="1" numFmtId="0" xfId="202"/>
    <xf borderId="0" fillId="0" fontId="10" numFmtId="0" xfId="203"/>
    <xf borderId="0" fillId="0" fontId="1" numFmtId="0" xfId="204"/>
    <xf borderId="0" fillId="0" fontId="1" numFmtId="0" xfId="205"/>
    <xf borderId="0" fillId="0" fontId="1" numFmtId="0" xfId="206"/>
    <xf borderId="0" fillId="0" fontId="0" numFmtId="0" xfId="207"/>
    <xf borderId="0" fillId="0" fontId="1" numFmtId="0" xfId="208"/>
    <xf borderId="0" fillId="0" fontId="0" numFmtId="0" xfId="209"/>
    <xf borderId="0" fillId="0" fontId="10" numFmtId="0" xfId="210"/>
    <xf borderId="0" fillId="0" fontId="0" numFmtId="0" xfId="211"/>
    <xf borderId="0" fillId="0" fontId="1" numFmtId="0" xfId="212"/>
    <xf borderId="0" fillId="0" fontId="0" numFmtId="0" xfId="213"/>
    <xf borderId="0" fillId="0" fontId="0" numFmtId="0" xfId="214"/>
    <xf borderId="0" fillId="0" fontId="0" numFmtId="0" xfId="215"/>
    <xf borderId="0" fillId="0" fontId="1" numFmtId="0" xfId="216"/>
    <xf borderId="0" fillId="0" fontId="1" numFmtId="0" xfId="217"/>
    <xf borderId="0" fillId="0" fontId="1" numFmtId="0" xfId="218"/>
    <xf borderId="0" fillId="0" fontId="0" numFmtId="0" xfId="219"/>
    <xf borderId="0" fillId="0" fontId="0" numFmtId="0" xfId="220"/>
    <xf borderId="0" fillId="0" fontId="0" numFmtId="0" xfId="221"/>
    <xf borderId="0" fillId="0" fontId="1" numFmtId="0" xfId="222"/>
    <xf borderId="0" fillId="0" fontId="10" numFmtId="0" xfId="223"/>
    <xf borderId="0" fillId="0" fontId="1" numFmtId="0" xfId="224"/>
    <xf borderId="0" fillId="0" fontId="1" numFmtId="0" xfId="225"/>
    <xf borderId="0" fillId="0" fontId="1" numFmtId="0" xfId="226"/>
    <xf borderId="0" fillId="0" fontId="0" numFmtId="0" xfId="227"/>
    <xf borderId="0" fillId="0" fontId="0" numFmtId="0" xfId="228"/>
    <xf borderId="0" fillId="0" fontId="0" numFmtId="0" xfId="229"/>
    <xf borderId="0" fillId="0" fontId="1" numFmtId="0" xfId="230"/>
    <xf borderId="0" fillId="0" fontId="1" numFmtId="0" xfId="231"/>
    <xf borderId="0" fillId="0" fontId="1" numFmtId="0" xfId="232"/>
    <xf borderId="0" fillId="0" fontId="1" numFmtId="0" xfId="233"/>
    <xf borderId="0" fillId="0" fontId="0" numFmtId="0" xfId="234"/>
    <xf borderId="0" fillId="0" fontId="0" numFmtId="0" xfId="235"/>
    <xf borderId="0" fillId="0" fontId="0" numFmtId="0" xfId="236"/>
    <xf borderId="0" fillId="0" fontId="1" numFmtId="0" xfId="237"/>
    <xf borderId="0" fillId="0" fontId="10" numFmtId="0" xfId="238"/>
    <xf borderId="0" fillId="0" fontId="1" numFmtId="0" xfId="239"/>
    <xf borderId="0" fillId="0" fontId="1" numFmtId="0" xfId="240"/>
    <xf borderId="0" fillId="0" fontId="0" numFmtId="0" xfId="241"/>
    <xf borderId="0" fillId="0" fontId="0" numFmtId="0" xfId="242"/>
    <xf borderId="0" fillId="0" fontId="0" numFmtId="0" xfId="243"/>
    <xf borderId="0" fillId="0" fontId="0" numFmtId="0" xfId="244"/>
    <xf borderId="0" fillId="0" fontId="1" numFmtId="0" xfId="245"/>
    <xf borderId="0" fillId="0" fontId="1" numFmtId="0" xfId="246"/>
    <xf borderId="0" fillId="0" fontId="1" numFmtId="0" xfId="247"/>
    <xf borderId="0" fillId="0" fontId="1" numFmtId="0" xfId="248"/>
    <xf borderId="0" fillId="0" fontId="0" numFmtId="0" xfId="249"/>
    <xf borderId="0" fillId="0" fontId="0" numFmtId="0" xfId="250"/>
    <xf borderId="0" fillId="0" fontId="0" numFmtId="0" xfId="251"/>
    <xf borderId="0" fillId="0" fontId="1" numFmtId="0" xfId="252"/>
    <xf borderId="0" fillId="0" fontId="10" numFmtId="0" xfId="253"/>
    <xf borderId="0" fillId="0" fontId="1" numFmtId="0" xfId="254"/>
    <xf borderId="0" fillId="0" fontId="1" numFmtId="0" xfId="255"/>
    <xf borderId="0" fillId="0" fontId="1" numFmtId="0" xfId="256"/>
    <xf borderId="0" fillId="0" fontId="0" numFmtId="0" xfId="257"/>
    <xf borderId="0" fillId="0" fontId="0" numFmtId="0" xfId="258"/>
    <xf borderId="0" fillId="0" fontId="0" numFmtId="0" xfId="259"/>
    <xf borderId="0" fillId="0" fontId="0" numFmtId="0" xfId="260"/>
    <xf borderId="0" fillId="0" fontId="1" numFmtId="0" xfId="261"/>
    <xf borderId="0" fillId="0" fontId="10" numFmtId="0" xfId="262"/>
    <xf borderId="0" fillId="0" fontId="1" numFmtId="0" xfId="263"/>
    <xf borderId="0" fillId="0" fontId="1" numFmtId="0" xfId="264"/>
    <xf borderId="0" fillId="0" fontId="1" numFmtId="0" xfId="265"/>
    <xf borderId="0" fillId="0" fontId="0" numFmtId="0" xfId="266"/>
    <xf borderId="0" fillId="0" fontId="0" numFmtId="0" xfId="267"/>
    <xf borderId="0" fillId="0" fontId="0" numFmtId="0" xfId="268"/>
    <xf borderId="0" fillId="0" fontId="1" numFmtId="0" xfId="269"/>
    <xf borderId="0" fillId="0" fontId="10" numFmtId="0" xfId="270"/>
    <xf borderId="0" fillId="0" fontId="1" numFmtId="0" xfId="271"/>
    <xf borderId="0" fillId="0" fontId="1" numFmtId="0" xfId="272"/>
    <xf borderId="0" fillId="0" fontId="1" numFmtId="0" xfId="273"/>
    <xf borderId="0" fillId="0" fontId="0" numFmtId="0" xfId="274"/>
    <xf borderId="0" fillId="0" fontId="0" numFmtId="0" xfId="275"/>
    <xf borderId="0" fillId="0" fontId="0" numFmtId="0" xfId="276"/>
    <xf borderId="0" fillId="0" fontId="1" numFmtId="0" xfId="277"/>
    <xf borderId="0" fillId="0" fontId="10" numFmtId="0" xfId="278"/>
    <xf borderId="0" fillId="0" fontId="1" numFmtId="0" xfId="279"/>
    <xf borderId="0" fillId="0" fontId="1" numFmtId="0" xfId="280"/>
    <xf borderId="0" fillId="0" fontId="1" numFmtId="0" xfId="281"/>
    <xf borderId="0" fillId="0" fontId="0" numFmtId="0" xfId="282"/>
    <xf borderId="0" fillId="0" fontId="0" numFmtId="0" xfId="283"/>
    <xf borderId="0" fillId="0" fontId="0" numFmtId="0" xfId="284"/>
    <xf borderId="0" fillId="0" fontId="0" numFmtId="0" xfId="285"/>
    <xf borderId="0" fillId="0" fontId="1" numFmtId="0" xfId="286"/>
    <xf borderId="0" fillId="0" fontId="10" numFmtId="0" xfId="287"/>
    <xf borderId="0" fillId="0" fontId="1" numFmtId="0" xfId="288"/>
    <xf borderId="0" fillId="0" fontId="1" numFmtId="0" xfId="289"/>
    <xf borderId="0" fillId="0" fontId="1" numFmtId="0" xfId="290"/>
    <xf borderId="0" fillId="0" fontId="0" numFmtId="0" xfId="291"/>
    <xf borderId="0" fillId="0" fontId="0" numFmtId="0" xfId="292"/>
    <xf borderId="0" fillId="0" fontId="0" numFmtId="0" xfId="293"/>
    <xf borderId="0" fillId="0" fontId="0" numFmtId="0" xfId="294"/>
    <xf borderId="0" fillId="0" fontId="1" numFmtId="0" xfId="295"/>
    <xf borderId="0" fillId="0" fontId="10" numFmtId="0" xfId="296"/>
    <xf borderId="0" fillId="0" fontId="1" numFmtId="0" xfId="297"/>
    <xf borderId="0" fillId="0" fontId="1" numFmtId="0" xfId="298"/>
    <xf borderId="0" fillId="0" fontId="1" numFmtId="0" xfId="299"/>
    <xf borderId="0" fillId="0" fontId="0" numFmtId="0" xfId="300"/>
    <xf borderId="0" fillId="0" fontId="0" numFmtId="0" xfId="301"/>
    <xf borderId="0" fillId="0" fontId="0" numFmtId="0" xfId="302"/>
    <xf borderId="0" fillId="0" fontId="1" numFmtId="0" xfId="303"/>
    <xf borderId="0" fillId="0" fontId="10" numFmtId="0" xfId="304"/>
    <xf borderId="0" fillId="0" fontId="1" numFmtId="0" xfId="305"/>
    <xf borderId="0" fillId="0" fontId="1" numFmtId="0" xfId="306"/>
    <xf borderId="0" fillId="0" fontId="1" numFmtId="0" xfId="307"/>
    <xf borderId="0" fillId="0" fontId="0" numFmtId="0" xfId="308"/>
    <xf borderId="0" fillId="0" fontId="0" numFmtId="0" xfId="309"/>
    <xf borderId="0" fillId="0" fontId="0" numFmtId="0" xfId="310"/>
    <xf borderId="0" fillId="0" fontId="0" numFmtId="0" xfId="311"/>
    <xf borderId="0" fillId="0" fontId="1" numFmtId="0" xfId="312"/>
    <xf borderId="0" fillId="0" fontId="10" numFmtId="0" xfId="313"/>
    <xf borderId="0" fillId="0" fontId="1" numFmtId="0" xfId="314"/>
    <xf borderId="0" fillId="0" fontId="1" numFmtId="0" xfId="315"/>
    <xf borderId="0" fillId="0" fontId="1" numFmtId="0" xfId="316"/>
    <xf borderId="0" fillId="0" fontId="0" numFmtId="0" xfId="317"/>
    <xf borderId="0" fillId="0" fontId="0" numFmtId="0" xfId="318"/>
    <xf borderId="0" fillId="0" fontId="0" numFmtId="0" xfId="319"/>
    <xf borderId="0" fillId="0" fontId="1" numFmtId="0" xfId="320"/>
    <xf borderId="0" fillId="0" fontId="10" numFmtId="0" xfId="321"/>
    <xf borderId="0" fillId="0" fontId="1" numFmtId="0" xfId="322"/>
    <xf borderId="0" fillId="0" fontId="1" numFmtId="0" xfId="323"/>
    <xf borderId="0" fillId="0" fontId="1" numFmtId="0" xfId="324"/>
    <xf borderId="0" fillId="0" fontId="0" numFmtId="0" xfId="325"/>
    <xf borderId="0" fillId="0" fontId="0" numFmtId="0" xfId="326"/>
    <xf borderId="0" fillId="0" fontId="0" numFmtId="0" xfId="327"/>
    <xf borderId="0" fillId="0" fontId="1" numFmtId="0" xfId="328"/>
    <xf borderId="0" fillId="0" fontId="10" numFmtId="0" xfId="329"/>
    <xf borderId="0" fillId="0" fontId="1" numFmtId="0" xfId="330"/>
    <xf borderId="0" fillId="0" fontId="1" numFmtId="0" xfId="331"/>
    <xf borderId="0" fillId="0" fontId="1" numFmtId="0" xfId="332"/>
    <xf borderId="0" fillId="0" fontId="0" numFmtId="0" xfId="333"/>
    <xf borderId="0" fillId="0" fontId="0" numFmtId="0" xfId="334"/>
    <xf borderId="0" fillId="0" fontId="0" numFmtId="0" xfId="335"/>
    <xf borderId="0" fillId="0" fontId="0" numFmtId="0" xfId="336"/>
    <xf borderId="0" fillId="0" fontId="1" numFmtId="0" xfId="337"/>
    <xf borderId="0" fillId="0" fontId="10" numFmtId="0" xfId="338"/>
    <xf borderId="0" fillId="0" fontId="1" numFmtId="0" xfId="339"/>
    <xf borderId="0" fillId="0" fontId="1" numFmtId="0" xfId="340"/>
    <xf borderId="0" fillId="0" fontId="1" numFmtId="0" xfId="341"/>
    <xf borderId="0" fillId="0" fontId="0" numFmtId="0" xfId="342"/>
    <xf borderId="0" fillId="0" fontId="0" numFmtId="0" xfId="343"/>
    <xf borderId="0" fillId="0" fontId="0" numFmtId="0" xfId="344"/>
    <xf borderId="0" fillId="0" fontId="0" numFmtId="0" xfId="345"/>
    <xf borderId="0" fillId="0" fontId="1" numFmtId="0" xfId="346"/>
    <xf borderId="0" fillId="0" fontId="10" numFmtId="0" xfId="347"/>
    <xf borderId="0" fillId="0" fontId="1" numFmtId="0" xfId="348"/>
    <xf borderId="0" fillId="0" fontId="1" numFmtId="0" xfId="349"/>
    <xf borderId="0" fillId="0" fontId="1" numFmtId="0" xfId="350"/>
    <xf borderId="0" fillId="0" fontId="0" numFmtId="0" xfId="351"/>
    <xf borderId="0" fillId="0" fontId="0" numFmtId="0" xfId="352"/>
    <xf borderId="0" fillId="0" fontId="0" numFmtId="0" xfId="353"/>
    <xf borderId="0" fillId="0" fontId="1" numFmtId="0" xfId="354"/>
    <xf borderId="0" fillId="0" fontId="10" numFmtId="0" xfId="355"/>
    <xf borderId="0" fillId="0" fontId="1" numFmtId="0" xfId="356"/>
    <xf borderId="0" fillId="0" fontId="1" numFmtId="0" xfId="357"/>
    <xf borderId="0" fillId="0" fontId="1" numFmtId="0" xfId="358"/>
    <xf borderId="0" fillId="0" fontId="0" numFmtId="0" xfId="359"/>
    <xf applyAlignment="1" applyBorder="1" applyFill="1" applyFont="1" borderId="3" fillId="4" fontId="0" numFmtId="0" xfId="5">
      <alignment vertical="top" wrapText="1"/>
    </xf>
    <xf applyAlignment="1" applyBorder="1" applyFill="1" applyFont="1" borderId="3" fillId="4" fontId="0" numFmtId="0" xfId="5">
      <alignment horizontal="left" vertical="center" wrapText="1"/>
    </xf>
    <xf applyAlignment="1" applyBorder="1" applyFill="1" applyFont="1" applyNumberFormat="1" borderId="3" fillId="4" fontId="0" numFmtId="16" xfId="5">
      <alignment horizontal="left" vertical="center" wrapText="1"/>
    </xf>
    <xf applyAlignment="1" applyBorder="1" applyFill="1" applyFont="1" applyNumberFormat="1" borderId="3" fillId="4" fontId="0" numFmtId="165" xfId="5">
      <alignment horizontal="left" vertical="center" wrapText="1"/>
    </xf>
    <xf applyAlignment="1" applyBorder="1" applyFill="1" applyFont="1" borderId="3" fillId="4" fontId="11" numFmtId="0" xfId="6">
      <alignment vertical="center"/>
    </xf>
    <xf applyAlignment="1" applyBorder="1" applyFill="1" applyFont="1" borderId="4" fillId="5" fontId="11" numFmtId="0" xfId="6">
      <alignment vertical="center"/>
    </xf>
    <xf applyAlignment="1" applyBorder="1" applyFill="1" applyFont="1" borderId="5" fillId="6" fontId="11" numFmtId="0" xfId="6">
      <alignment vertical="center"/>
    </xf>
    <xf applyAlignment="1" applyBorder="1" applyFill="1" applyFont="1" borderId="6" fillId="7" fontId="11" numFmtId="0" xfId="6">
      <alignment vertical="center"/>
    </xf>
    <xf applyFont="1" borderId="0" fillId="0" fontId="7" numFmtId="0" xfId="7"/>
    <xf applyFont="1" borderId="0" fillId="0" fontId="8" numFmtId="0" xfId="7"/>
    <xf applyFont="1" borderId="0" fillId="0" fontId="9" numFmtId="0" xfId="7"/>
    <xf applyFont="1" borderId="0" fillId="0" fontId="0" numFmtId="0" xfId="7"/>
    <xf applyAlignment="1" applyBorder="1" applyFont="1" applyNumberFormat="1" borderId="7" fillId="0" fontId="0" numFmtId="15" xfId="8">
      <alignment horizontal="left" vertical="top"/>
    </xf>
    <xf applyAlignment="1" applyBorder="1" borderId="7" fillId="0" fontId="1" numFmtId="0" xfId="7">
      <alignment horizontal="left" vertical="center"/>
    </xf>
    <xf applyBorder="1" applyFill="1" applyFont="1" borderId="8" fillId="9" fontId="2" numFmtId="0" xfId="0"/>
    <xf applyAlignment="1" applyBorder="1" applyFill="1" applyFont="1" borderId="8" fillId="9" fontId="2" numFmtId="0" xfId="4">
      <alignment vertical="center"/>
    </xf>
    <xf applyBorder="1" applyFill="1" applyFont="1" borderId="8" fillId="9" fontId="2" numFmtId="0" xfId="4"/>
    <xf applyAlignment="1" applyBorder="1" applyFill="1" applyFont="1" borderId="8" fillId="9" fontId="2" numFmtId="0" xfId="4">
      <alignment horizontal="center" vertical="center" wrapText="1"/>
    </xf>
    <xf applyAlignment="1" applyBorder="1" applyFill="1" applyFont="1" borderId="3" fillId="4" fontId="0" numFmtId="0" xfId="5">
      <alignment horizontal="center" vertical="top" wrapText="1"/>
    </xf>
    <xf applyAlignment="1" applyBorder="1" applyFill="1" applyFont="1" borderId="3" fillId="4" fontId="0" numFmtId="0" xfId="5">
      <alignment horizontal="center" vertical="top"/>
    </xf>
    <xf applyAlignment="1" applyBorder="1" applyFill="1" applyFont="1" applyNumberFormat="1" borderId="3" fillId="4" fontId="0" numFmtId="164" xfId="5">
      <alignment horizontal="center" vertical="top" wrapText="1"/>
    </xf>
    <xf applyFill="1" borderId="9" fillId="10" fontId="1" numFmtId="0" xfId="9"/>
    <xf applyAlignment="1" applyFill="1" borderId="9" fillId="10" fontId="1" numFmtId="0" xfId="9">
      <alignment horizontal="center"/>
    </xf>
    <xf applyAlignment="1" applyFill="1" applyNumberFormat="1" borderId="9" fillId="10" fontId="1" numFmtId="10" xfId="9">
      <alignment horizontal="center"/>
    </xf>
    <xf applyAlignment="1" applyFill="1" applyNumberFormat="1" borderId="9" fillId="10" fontId="1" numFmtId="3" xfId="9">
      <alignment horizontal="center"/>
    </xf>
    <xf applyFill="1" applyFont="1" borderId="9" fillId="10" fontId="12" numFmtId="0" xfId="9"/>
    <xf applyAlignment="1" applyFill="1" borderId="9" fillId="10" fontId="1" numFmtId="0" xfId="9">
      <alignment horizontal="left"/>
    </xf>
    <xf applyBorder="1" applyFill="1" applyNumberFormat="1" borderId="10" fillId="11" fontId="1" numFmtId="10" xfId="9"/>
    <xf applyAlignment="1" borderId="0" fillId="0" fontId="1" numFmtId="0" xfId="9">
      <alignment horizontal="right"/>
    </xf>
    <xf applyBorder="1" applyFill="1" applyFont="1" borderId="11" fillId="0" fontId="6" numFmtId="0" xfId="3"/>
    <xf applyBorder="1" applyFill="1" applyFont="1" borderId="7" fillId="0" fontId="6" numFmtId="0" xfId="3"/>
    <xf applyAlignment="1" applyBorder="1" applyFill="1" applyFont="1" borderId="7" fillId="0" fontId="6" numFmtId="0" xfId="3">
      <alignment horizontal="center"/>
    </xf>
    <xf applyAlignment="1" applyBorder="1" applyFill="1" applyFont="1" applyNumberFormat="1" borderId="7" fillId="0" fontId="6" numFmtId="3" xfId="3">
      <alignment horizontal="center"/>
    </xf>
    <xf applyAlignment="1" applyBorder="1" applyFill="1" applyFont="1" borderId="8" fillId="9" fontId="2" numFmtId="0" xfId="4">
      <alignment horizontal="left" vertical="center" wrapText="1"/>
    </xf>
    <xf applyAlignment="1" applyBorder="1" borderId="7" fillId="0" fontId="0" numFmtId="0" xfId="0">
      <alignment horizontal="left" vertical="center" wrapText="1"/>
    </xf>
    <xf applyAlignment="1" applyBorder="1" applyFill="1" applyNumberFormat="1" borderId="10" fillId="11" fontId="1" numFmtId="3" xfId="297">
      <alignment horizontal="center"/>
    </xf>
    <xf applyAlignment="1" applyBorder="1" applyFont="1" borderId="7" fillId="0" fontId="0" numFmtId="0" xfId="32">
      <alignment horizontal="left" vertical="center" wrapText="1"/>
    </xf>
    <xf applyAlignment="1" applyBorder="1" applyFont="1" borderId="7" fillId="0" fontId="0" numFmtId="0" xfId="30">
      <alignment horizontal="left" vertical="center" wrapText="1"/>
    </xf>
    <xf applyAlignment="1" applyBorder="1" borderId="7" fillId="0" fontId="0" numFmtId="0" xfId="0">
      <alignment horizontal="left" vertical="center"/>
    </xf>
    <xf applyAlignment="1" applyFont="1" borderId="0" fillId="0" fontId="5" numFmtId="0" xfId="7">
      <alignment horizontal="center"/>
    </xf>
    <xf applyAlignment="1" applyBorder="1" applyFill="1" applyFont="1" borderId="8" fillId="9" fontId="2" numFmtId="0" xfId="4">
      <alignment horizontal="left"/>
    </xf>
    <xf applyAlignment="1" applyBorder="1" applyFill="1" applyFont="1" borderId="12" fillId="13" fontId="2" numFmtId="0" xfId="4">
      <alignment horizontal="left"/>
    </xf>
    <xf applyAlignment="1" applyBorder="1" applyFill="1" applyFont="1" borderId="13" fillId="14" fontId="2" numFmtId="0" xfId="4">
      <alignment horizontal="left"/>
    </xf>
    <xf applyAlignment="1" applyFont="1" borderId="0" fillId="0" fontId="5" numFmtId="0" xfId="7">
      <alignment horizontal="left" vertical="center"/>
    </xf>
    <xf applyAlignment="1" applyBorder="1" applyFill="1" applyFont="1" borderId="12" fillId="13" fontId="2" numFmtId="0" xfId="0">
      <alignment horizontal="left" vertical="center"/>
    </xf>
    <xf applyAlignment="1" applyBorder="1" applyFill="1" applyFont="1" borderId="14" fillId="15" fontId="2" numFmtId="0" xfId="0">
      <alignment horizontal="left" vertical="center"/>
    </xf>
    <xf applyAlignment="1" applyBorder="1" applyFont="1" borderId="7" fillId="0" fontId="6" numFmtId="0" xfId="9">
      <alignment horizontal="left" vertical="center"/>
    </xf>
    <xf applyAlignment="1" applyBorder="1" applyFill="1" applyFont="1" borderId="8" fillId="9" fontId="2" numFmtId="0" xfId="0">
      <alignment horizontal="left" vertical="center" wrapText="1"/>
    </xf>
    <xf applyAlignment="1" applyBorder="1" applyFill="1" applyFont="1" borderId="15" fillId="16" fontId="6" numFmtId="0" xfId="0">
      <alignment horizontal="left" vertical="center" wrapText="1"/>
    </xf>
    <xf applyAlignment="1" applyBorder="1" applyFill="1" applyFont="1" borderId="15" fillId="16" fontId="13" numFmtId="0" xfId="0">
      <alignment horizontal="left" vertical="center" wrapText="1"/>
    </xf>
    <xf applyAlignment="1" applyBorder="1" applyFill="1" applyFont="1" borderId="18" fillId="19" fontId="2" numFmtId="0" xfId="0">
      <alignment vertical="center"/>
    </xf>
    <xf applyBorder="1" borderId="7" fillId="0" fontId="0" numFmtId="0" xfId="0"/>
    <xf applyBorder="1" applyFill="1" applyFont="1" borderId="20" fillId="21" fontId="3" numFmtId="0" xfId="0"/>
    <xf applyBorder="1" applyFill="1" applyFont="1" borderId="24" fillId="25" fontId="3" numFmtId="0" xfId="0"/>
    <xf numFmtId="0" fontId="14" fillId="27" borderId="0" xfId="0" applyFill="true" applyFont="true"/>
    <xf numFmtId="0" fontId="15" fillId="29" borderId="0" xfId="0" applyFill="true" applyFont="true"/>
    <xf numFmtId="0" fontId="16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17" fillId="33" borderId="28" xfId="0" applyFill="true" applyFont="true" applyBorder="true"/>
    <xf numFmtId="0" fontId="0" fillId="0" borderId="28" xfId="0" applyBorder="true"/>
    <xf numFmtId="10" fontId="18" fillId="33" borderId="28" xfId="0" applyFill="true" applyFont="true" applyNumberFormat="true" applyBorder="true"/>
    <xf numFmtId="0" fontId="19" fillId="27" borderId="0" xfId="0" applyFill="true" applyFont="true"/>
    <xf numFmtId="0" fontId="20" fillId="29" borderId="0" xfId="0" applyFill="true" applyFont="true"/>
    <xf numFmtId="0" fontId="21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22" fillId="33" borderId="28" xfId="0" applyFill="true" applyFont="true" applyBorder="true"/>
    <xf numFmtId="0" fontId="0" fillId="0" borderId="28" xfId="0" applyBorder="true"/>
    <xf numFmtId="10" fontId="23" fillId="33" borderId="28" xfId="0" applyFill="true" applyFont="true" applyNumberFormat="true" applyBorder="true"/>
    <xf numFmtId="0" fontId="24" fillId="27" borderId="0" xfId="0" applyFill="true" applyFont="true"/>
    <xf numFmtId="0" fontId="25" fillId="29" borderId="0" xfId="0" applyFill="true" applyFont="true"/>
    <xf numFmtId="0" fontId="26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27" fillId="33" borderId="28" xfId="0" applyFill="true" applyFont="true" applyBorder="true"/>
    <xf numFmtId="0" fontId="0" fillId="0" borderId="28" xfId="0" applyBorder="true"/>
    <xf numFmtId="10" fontId="28" fillId="33" borderId="28" xfId="0" applyFill="true" applyFont="true" applyNumberFormat="true" applyBorder="true"/>
    <xf numFmtId="0" fontId="29" fillId="27" borderId="0" xfId="0" applyFill="true" applyFont="true"/>
    <xf numFmtId="0" fontId="30" fillId="29" borderId="0" xfId="0" applyFill="true" applyFont="true"/>
    <xf numFmtId="0" fontId="31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32" fillId="33" borderId="28" xfId="0" applyFill="true" applyFont="true" applyBorder="true"/>
    <xf numFmtId="0" fontId="0" fillId="0" borderId="28" xfId="0" applyBorder="true"/>
    <xf numFmtId="10" fontId="33" fillId="33" borderId="28" xfId="0" applyFill="true" applyFont="true" applyNumberFormat="true" applyBorder="true"/>
    <xf numFmtId="0" fontId="34" fillId="27" borderId="0" xfId="0" applyFill="true" applyFont="true"/>
    <xf numFmtId="0" fontId="35" fillId="29" borderId="0" xfId="0" applyFill="true" applyFont="true"/>
    <xf numFmtId="0" fontId="36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37" fillId="33" borderId="28" xfId="0" applyFill="true" applyFont="true" applyBorder="true"/>
    <xf numFmtId="0" fontId="0" fillId="0" borderId="28" xfId="0" applyBorder="true"/>
    <xf numFmtId="10" fontId="38" fillId="33" borderId="28" xfId="0" applyFill="true" applyFont="true" applyNumberFormat="true" applyBorder="true"/>
    <xf numFmtId="0" fontId="39" fillId="27" borderId="0" xfId="0" applyFill="true" applyFont="true"/>
    <xf numFmtId="0" fontId="40" fillId="29" borderId="0" xfId="0" applyFill="true" applyFont="true"/>
    <xf numFmtId="0" fontId="41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42" fillId="33" borderId="28" xfId="0" applyFill="true" applyFont="true" applyBorder="true"/>
    <xf numFmtId="0" fontId="0" fillId="0" borderId="28" xfId="0" applyBorder="true"/>
    <xf numFmtId="10" fontId="43" fillId="33" borderId="28" xfId="0" applyFill="true" applyFont="true" applyNumberFormat="true" applyBorder="true"/>
    <xf numFmtId="0" fontId="44" fillId="27" borderId="0" xfId="0" applyFill="true" applyFont="true"/>
    <xf numFmtId="0" fontId="45" fillId="29" borderId="0" xfId="0" applyFill="true" applyFont="true"/>
    <xf numFmtId="0" fontId="46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47" fillId="33" borderId="28" xfId="0" applyFill="true" applyFont="true" applyBorder="true"/>
    <xf numFmtId="0" fontId="0" fillId="0" borderId="28" xfId="0" applyBorder="true"/>
    <xf numFmtId="10" fontId="48" fillId="33" borderId="28" xfId="0" applyFill="true" applyFont="true" applyNumberFormat="true" applyBorder="true"/>
    <xf numFmtId="0" fontId="49" fillId="27" borderId="0" xfId="0" applyFill="true" applyFont="true"/>
    <xf numFmtId="0" fontId="50" fillId="29" borderId="0" xfId="0" applyFill="true" applyFont="true"/>
    <xf numFmtId="0" fontId="51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52" fillId="33" borderId="28" xfId="0" applyFill="true" applyFont="true" applyBorder="true"/>
    <xf numFmtId="0" fontId="0" fillId="0" borderId="28" xfId="0" applyBorder="true"/>
    <xf numFmtId="10" fontId="53" fillId="33" borderId="28" xfId="0" applyFill="true" applyFont="true" applyNumberFormat="true" applyBorder="true"/>
    <xf numFmtId="0" fontId="54" fillId="27" borderId="0" xfId="0" applyFill="true" applyFont="true"/>
    <xf numFmtId="0" fontId="55" fillId="29" borderId="0" xfId="0" applyFill="true" applyFont="true"/>
    <xf numFmtId="0" fontId="56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57" fillId="33" borderId="28" xfId="0" applyFill="true" applyFont="true" applyBorder="true"/>
    <xf numFmtId="0" fontId="0" fillId="0" borderId="28" xfId="0" applyBorder="true"/>
    <xf numFmtId="10" fontId="58" fillId="33" borderId="28" xfId="0" applyFill="true" applyFont="true" applyNumberFormat="true" applyBorder="true"/>
    <xf numFmtId="0" fontId="59" fillId="27" borderId="0" xfId="0" applyFill="true" applyFont="true"/>
    <xf numFmtId="0" fontId="60" fillId="29" borderId="0" xfId="0" applyFill="true" applyFont="true"/>
    <xf numFmtId="0" fontId="61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62" fillId="33" borderId="28" xfId="0" applyFill="true" applyFont="true" applyBorder="true"/>
    <xf numFmtId="0" fontId="0" fillId="0" borderId="28" xfId="0" applyBorder="true"/>
    <xf numFmtId="10" fontId="63" fillId="33" borderId="28" xfId="0" applyFill="true" applyFont="true" applyNumberFormat="true" applyBorder="true"/>
    <xf numFmtId="0" fontId="64" fillId="27" borderId="0" xfId="0" applyFill="true" applyFont="true"/>
    <xf numFmtId="0" fontId="65" fillId="29" borderId="0" xfId="0" applyFill="true" applyFont="true"/>
    <xf numFmtId="0" fontId="66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67" fillId="33" borderId="28" xfId="0" applyFill="true" applyFont="true" applyBorder="true"/>
    <xf numFmtId="0" fontId="0" fillId="0" borderId="28" xfId="0" applyBorder="true"/>
    <xf numFmtId="10" fontId="68" fillId="33" borderId="28" xfId="0" applyFill="true" applyFont="true" applyNumberFormat="true" applyBorder="true"/>
    <xf numFmtId="0" fontId="69" fillId="27" borderId="0" xfId="0" applyFill="true" applyFont="true"/>
    <xf numFmtId="0" fontId="70" fillId="29" borderId="0" xfId="0" applyFill="true" applyFont="true"/>
    <xf numFmtId="0" fontId="71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72" fillId="33" borderId="28" xfId="0" applyFill="true" applyFont="true" applyBorder="true"/>
    <xf numFmtId="0" fontId="0" fillId="0" borderId="28" xfId="0" applyBorder="true"/>
    <xf numFmtId="10" fontId="73" fillId="33" borderId="28" xfId="0" applyFill="true" applyFont="true" applyNumberFormat="true" applyBorder="true"/>
    <xf numFmtId="0" fontId="74" fillId="27" borderId="0" xfId="0" applyFill="true" applyFont="true"/>
    <xf numFmtId="0" fontId="75" fillId="29" borderId="0" xfId="0" applyFill="true" applyFont="true"/>
    <xf numFmtId="0" fontId="76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77" fillId="33" borderId="28" xfId="0" applyFill="true" applyFont="true" applyBorder="true"/>
    <xf numFmtId="0" fontId="0" fillId="0" borderId="28" xfId="0" applyBorder="true"/>
    <xf numFmtId="10" fontId="78" fillId="33" borderId="28" xfId="0" applyFill="true" applyFont="true" applyNumberFormat="true" applyBorder="true"/>
    <xf numFmtId="0" fontId="79" fillId="27" borderId="0" xfId="0" applyFill="true" applyFont="true"/>
    <xf numFmtId="0" fontId="80" fillId="29" borderId="0" xfId="0" applyFill="true" applyFont="true"/>
    <xf numFmtId="0" fontId="81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82" fillId="33" borderId="28" xfId="0" applyFill="true" applyFont="true" applyBorder="true"/>
    <xf numFmtId="0" fontId="0" fillId="0" borderId="28" xfId="0" applyBorder="true"/>
    <xf numFmtId="10" fontId="83" fillId="33" borderId="28" xfId="0" applyFill="true" applyFont="true" applyNumberFormat="true" applyBorder="true"/>
    <xf numFmtId="0" fontId="84" fillId="27" borderId="0" xfId="0" applyFill="true" applyFont="true"/>
    <xf numFmtId="0" fontId="85" fillId="29" borderId="0" xfId="0" applyFill="true" applyFont="true"/>
    <xf numFmtId="0" fontId="86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87" fillId="33" borderId="28" xfId="0" applyFill="true" applyFont="true" applyBorder="true"/>
    <xf numFmtId="0" fontId="0" fillId="0" borderId="28" xfId="0" applyBorder="true"/>
    <xf numFmtId="10" fontId="88" fillId="33" borderId="28" xfId="0" applyFill="true" applyFont="true" applyNumberFormat="true" applyBorder="true"/>
    <xf numFmtId="0" fontId="89" fillId="27" borderId="0" xfId="0" applyFill="true" applyFont="true"/>
    <xf numFmtId="0" fontId="90" fillId="29" borderId="0" xfId="0" applyFill="true" applyFont="true"/>
    <xf numFmtId="0" fontId="91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92" fillId="33" borderId="28" xfId="0" applyFill="true" applyFont="true" applyBorder="true"/>
    <xf numFmtId="0" fontId="0" fillId="0" borderId="28" xfId="0" applyBorder="true"/>
    <xf numFmtId="10" fontId="93" fillId="33" borderId="28" xfId="0" applyFill="true" applyFont="true" applyNumberFormat="true" applyBorder="true"/>
    <xf numFmtId="0" fontId="94" fillId="27" borderId="0" xfId="0" applyFill="true" applyFont="true"/>
    <xf numFmtId="0" fontId="95" fillId="29" borderId="0" xfId="0" applyFill="true" applyFont="true"/>
    <xf numFmtId="0" fontId="96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97" fillId="33" borderId="28" xfId="0" applyFill="true" applyFont="true" applyBorder="true"/>
    <xf numFmtId="0" fontId="0" fillId="0" borderId="28" xfId="0" applyBorder="true"/>
    <xf numFmtId="10" fontId="98" fillId="33" borderId="28" xfId="0" applyFill="true" applyFont="true" applyNumberFormat="true" applyBorder="true"/>
    <xf numFmtId="0" fontId="99" fillId="27" borderId="0" xfId="0" applyFill="true" applyFont="true"/>
    <xf numFmtId="0" fontId="100" fillId="29" borderId="0" xfId="0" applyFill="true" applyFont="true"/>
    <xf numFmtId="0" fontId="101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102" fillId="33" borderId="28" xfId="0" applyFill="true" applyFont="true" applyBorder="true"/>
    <xf numFmtId="0" fontId="0" fillId="0" borderId="28" xfId="0" applyBorder="true"/>
    <xf numFmtId="10" fontId="103" fillId="33" borderId="28" xfId="0" applyFill="true" applyFont="true" applyNumberFormat="true" applyBorder="true"/>
    <xf numFmtId="0" fontId="104" fillId="27" borderId="0" xfId="0" applyFill="true" applyFont="true"/>
    <xf numFmtId="0" fontId="105" fillId="29" borderId="0" xfId="0" applyFill="true" applyFont="true"/>
    <xf numFmtId="0" fontId="106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107" fillId="33" borderId="28" xfId="0" applyFill="true" applyFont="true" applyBorder="true"/>
    <xf numFmtId="0" fontId="0" fillId="0" borderId="28" xfId="0" applyBorder="true"/>
    <xf numFmtId="10" fontId="108" fillId="33" borderId="28" xfId="0" applyFill="true" applyFont="true" applyNumberFormat="true" applyBorder="true"/>
    <xf numFmtId="0" fontId="109" fillId="27" borderId="0" xfId="0" applyFill="true" applyFont="true"/>
    <xf numFmtId="0" fontId="110" fillId="29" borderId="0" xfId="0" applyFill="true" applyFont="true"/>
    <xf numFmtId="0" fontId="111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112" fillId="33" borderId="28" xfId="0" applyFill="true" applyFont="true" applyBorder="true"/>
    <xf numFmtId="0" fontId="0" fillId="0" borderId="28" xfId="0" applyBorder="true"/>
    <xf numFmtId="10" fontId="113" fillId="33" borderId="28" xfId="0" applyFill="true" applyFont="true" applyNumberFormat="true" applyBorder="true"/>
  </cellXfs>
  <cellStyles count="360">
    <cellStyle builtinId="0" customBuiltin="1" name="Normal" xfId="0"/>
    <cellStyle name="Normal 3" xfId="1"/>
    <cellStyle name="Normal 2" xfId="2"/>
    <cellStyle builtinId="22" customBuiltin="1" name="Calculation" xfId="3"/>
    <cellStyle builtinId="41" customBuiltin="1" name="Accent4" xfId="4"/>
    <cellStyle name="Normal_KISS_IntegrationTestSpec_v0.9" xfId="5"/>
    <cellStyle name="Normal_NextG_B2_TC_AHR-012_ v0.1" xfId="6"/>
    <cellStyle name="Normal 4" xfId="7"/>
    <cellStyle name="Normal 2 2" xfId="8"/>
    <cellStyle name="Normal 5" xfId="9"/>
    <cellStyle name="Normal 6" xfId="10"/>
    <cellStyle name="Normal 2 3" xfId="11"/>
    <cellStyle name="Normal 7" xfId="12"/>
    <cellStyle name="Normal 3 2" xfId="13"/>
    <cellStyle name="Normal 2 4" xfId="14"/>
    <cellStyle name="Normal 9" xfId="15"/>
    <cellStyle name="Normal 4 2" xfId="16"/>
    <cellStyle name="Normal 2 2 2" xfId="17"/>
    <cellStyle name="Normal 5 2" xfId="18"/>
    <cellStyle name="Normal 6 2" xfId="19"/>
    <cellStyle name="Normal 2 3 2" xfId="20"/>
    <cellStyle name="Normal 8" xfId="21"/>
    <cellStyle name="Normal 3 3" xfId="22"/>
    <cellStyle name="Normal 2 5" xfId="23"/>
    <cellStyle name="Normal 4 3" xfId="24"/>
    <cellStyle name="Normal 2 2 3" xfId="25"/>
    <cellStyle name="Normal 5 3" xfId="26"/>
    <cellStyle name="Normal 6 3" xfId="27"/>
    <cellStyle name="Normal 2 3 3" xfId="28"/>
    <cellStyle name="Normal 11" xfId="29"/>
    <cellStyle name="Normal 6 2 2" xfId="30"/>
    <cellStyle name="Normal 9 2" xfId="31"/>
    <cellStyle name="Normal 2 2 2 2" xfId="32"/>
    <cellStyle name="Normal 10" xfId="33"/>
    <cellStyle name="Normal 6 4" xfId="34"/>
    <cellStyle name="Normal 12" xfId="35"/>
    <cellStyle name="Normal 3 5" xfId="36"/>
    <cellStyle name="Normal 2 7" xfId="37"/>
    <cellStyle name="Normal 4 5" xfId="38"/>
    <cellStyle name="Normal 5 5" xfId="39"/>
    <cellStyle name="Normal 2 3 5" xfId="40"/>
    <cellStyle name="Normal 8 3" xfId="41"/>
    <cellStyle name="Normal 3 3 3" xfId="42"/>
    <cellStyle name="Normal 2 5 3" xfId="43"/>
    <cellStyle name="Normal 4 3 3" xfId="44"/>
    <cellStyle name="Normal 2 2 3 3" xfId="45"/>
    <cellStyle name="Normal 5 3 3" xfId="46"/>
    <cellStyle name="Normal 6 3 3" xfId="47"/>
    <cellStyle name="Normal 2 3 3 3" xfId="48"/>
    <cellStyle name="Normal 7 3" xfId="49"/>
    <cellStyle name="Normal 3 2 3" xfId="50"/>
    <cellStyle name="Normal 2 4 3" xfId="51"/>
    <cellStyle name="Normal 4 2 3" xfId="52"/>
    <cellStyle name="Normal 5 2 3" xfId="53"/>
    <cellStyle name="Normal 6 2 3" xfId="54"/>
    <cellStyle name="Normal 2 3 2 3" xfId="55"/>
    <cellStyle name="Normal 9 3" xfId="56"/>
    <cellStyle name="Normal 3 4" xfId="57"/>
    <cellStyle name="Normal 2 6" xfId="58"/>
    <cellStyle name="Normal 4 4" xfId="59"/>
    <cellStyle name="Normal 2 2 4" xfId="60"/>
    <cellStyle name="Normal 5 4" xfId="61"/>
    <cellStyle name="Normal 2 3 4" xfId="62"/>
    <cellStyle name="Normal 7 2" xfId="63"/>
    <cellStyle name="Normal 3 2 2" xfId="64"/>
    <cellStyle name="Normal 2 4 2" xfId="65"/>
    <cellStyle name="Normal 9 2 2" xfId="66"/>
    <cellStyle name="Normal 4 2 2" xfId="67"/>
    <cellStyle name="Normal 5 2 2" xfId="68"/>
    <cellStyle name="Normal 6 2 2 2" xfId="69"/>
    <cellStyle name="Normal 2 3 2 2" xfId="70"/>
    <cellStyle name="Normal 8 2" xfId="71"/>
    <cellStyle name="Normal 3 3 2" xfId="72"/>
    <cellStyle name="Normal 2 5 2" xfId="73"/>
    <cellStyle name="Normal 4 3 2" xfId="74"/>
    <cellStyle name="Normal 2 2 3 2" xfId="75"/>
    <cellStyle name="Normal 5 3 2" xfId="76"/>
    <cellStyle name="Normal 6 3 2" xfId="77"/>
    <cellStyle name="Normal 2 3 3 2" xfId="78"/>
    <cellStyle name="Normal 11 2" xfId="79"/>
    <cellStyle name="Normal 13" xfId="80"/>
    <cellStyle name="Normal 3 6" xfId="81"/>
    <cellStyle name="Normal 2 8" xfId="82"/>
    <cellStyle name="Normal 4 6" xfId="83"/>
    <cellStyle name="Normal 2 2 5" xfId="84"/>
    <cellStyle name="Normal 5 6" xfId="85"/>
    <cellStyle name="Normal 6 5" xfId="86"/>
    <cellStyle name="Normal 2 3 6" xfId="87"/>
    <cellStyle name="Normal 8 4" xfId="88"/>
    <cellStyle name="Normal 3 3 4" xfId="89"/>
    <cellStyle name="Normal 2 5 4" xfId="90"/>
    <cellStyle name="Normal 4 3 4" xfId="91"/>
    <cellStyle name="Normal 2 2 3 4" xfId="92"/>
    <cellStyle name="Normal 5 3 4" xfId="93"/>
    <cellStyle name="Normal 6 3 4" xfId="94"/>
    <cellStyle name="Normal 2 3 3 4" xfId="95"/>
    <cellStyle name="Normal 7 4" xfId="96"/>
    <cellStyle name="Normal 3 2 4" xfId="97"/>
    <cellStyle name="Normal 2 4 4" xfId="98"/>
    <cellStyle name="Normal 4 2 4" xfId="99"/>
    <cellStyle name="Normal 2 2 2 3" xfId="100"/>
    <cellStyle name="Normal 5 2 4" xfId="101"/>
    <cellStyle name="Normal 6 2 4" xfId="102"/>
    <cellStyle name="Normal 2 3 2 4" xfId="103"/>
    <cellStyle name="Normal 9 4" xfId="104"/>
    <cellStyle name="Normal 10 2" xfId="105"/>
    <cellStyle name="Normal 3 4 2" xfId="106"/>
    <cellStyle name="Normal 2 6 2" xfId="107"/>
    <cellStyle name="Normal 4 4 2" xfId="108"/>
    <cellStyle name="Normal 2 2 4 2" xfId="109"/>
    <cellStyle name="Normal 5 4 2" xfId="110"/>
    <cellStyle name="Normal 6 4 2" xfId="111"/>
    <cellStyle name="Normal 2 3 4 2" xfId="112"/>
    <cellStyle name="Normal 7 2 2" xfId="113"/>
    <cellStyle name="Normal 3 2 2 2" xfId="114"/>
    <cellStyle name="Normal 2 4 2 2" xfId="115"/>
    <cellStyle name="Normal 9 2 3" xfId="116"/>
    <cellStyle name="Normal 4 2 2 2" xfId="117"/>
    <cellStyle name="Normal 2 2 2 2 2" xfId="118"/>
    <cellStyle name="Normal 5 2 2 2" xfId="119"/>
    <cellStyle name="Normal 6 2 2 3" xfId="120"/>
    <cellStyle name="Normal 2 3 2 2 2" xfId="121"/>
    <cellStyle name="Normal 8 2 2" xfId="122"/>
    <cellStyle name="Normal 3 3 2 2" xfId="123"/>
    <cellStyle name="Normal 2 5 2 2" xfId="124"/>
    <cellStyle name="Normal 4 3 2 2" xfId="125"/>
    <cellStyle name="Normal 2 2 3 2 2" xfId="126"/>
    <cellStyle name="Normal 5 3 2 2" xfId="127"/>
    <cellStyle name="Normal 6 3 2 2" xfId="128"/>
    <cellStyle name="Normal 2 3 3 2 2" xfId="129"/>
    <cellStyle name="Normal 11 3" xfId="130"/>
    <cellStyle name="Normal 14" xfId="131"/>
    <cellStyle name="Normal 3 7" xfId="132"/>
    <cellStyle name="Normal 2 9" xfId="133"/>
    <cellStyle name="Normal 4 7" xfId="134"/>
    <cellStyle name="Normal 2 2 6" xfId="135"/>
    <cellStyle name="Normal 5 7" xfId="136"/>
    <cellStyle name="Normal 6 6" xfId="137"/>
    <cellStyle name="Normal 2 3 7" xfId="138"/>
    <cellStyle name="Normal 8 5" xfId="139"/>
    <cellStyle name="Normal 3 3 5" xfId="140"/>
    <cellStyle name="Normal 2 5 5" xfId="141"/>
    <cellStyle name="Normal 4 3 5" xfId="142"/>
    <cellStyle name="Normal 2 2 3 5" xfId="143"/>
    <cellStyle name="Normal 5 3 5" xfId="144"/>
    <cellStyle name="Normal 6 3 5" xfId="145"/>
    <cellStyle name="Normal 2 3 3 5" xfId="146"/>
    <cellStyle name="Normal 7 5" xfId="147"/>
    <cellStyle name="Normal 3 2 5" xfId="148"/>
    <cellStyle name="Normal 2 4 5" xfId="149"/>
    <cellStyle name="Normal 4 2 5" xfId="150"/>
    <cellStyle name="Normal 2 2 2 4" xfId="151"/>
    <cellStyle name="Normal 5 2 5" xfId="152"/>
    <cellStyle name="Normal 6 2 5" xfId="153"/>
    <cellStyle name="Normal 2 3 2 5" xfId="154"/>
    <cellStyle name="Normal 9 5" xfId="155"/>
    <cellStyle name="Normal 10 3" xfId="156"/>
    <cellStyle name="Normal 3 4 3" xfId="157"/>
    <cellStyle name="Normal 2 6 3" xfId="158"/>
    <cellStyle name="Normal 4 4 3" xfId="159"/>
    <cellStyle name="Normal 2 2 4 3" xfId="160"/>
    <cellStyle name="Normal 5 4 3" xfId="161"/>
    <cellStyle name="Normal 6 4 3" xfId="162"/>
    <cellStyle name="Normal 2 3 4 3" xfId="163"/>
    <cellStyle name="Normal 7 2 3" xfId="164"/>
    <cellStyle name="Normal 3 2 2 3" xfId="165"/>
    <cellStyle name="Normal 2 4 2 3" xfId="166"/>
    <cellStyle name="Normal 9 2 4" xfId="167"/>
    <cellStyle name="Normal 4 2 2 3" xfId="168"/>
    <cellStyle name="Normal 2 2 2 2 3" xfId="169"/>
    <cellStyle name="Normal 5 2 2 3" xfId="170"/>
    <cellStyle name="Normal 6 2 2 4" xfId="171"/>
    <cellStyle name="Normal 2 3 2 2 3" xfId="172"/>
    <cellStyle name="Normal 8 2 3" xfId="173"/>
    <cellStyle name="Normal 3 3 2 3" xfId="174"/>
    <cellStyle name="Normal 2 5 2 3" xfId="175"/>
    <cellStyle name="Normal 4 3 2 3" xfId="176"/>
    <cellStyle name="Normal 2 2 3 2 3" xfId="177"/>
    <cellStyle name="Normal 5 3 2 3" xfId="178"/>
    <cellStyle name="Normal 6 3 2 3" xfId="179"/>
    <cellStyle name="Normal 2 3 3 2 3" xfId="180"/>
    <cellStyle name="Normal 11 4" xfId="181"/>
    <cellStyle name="Normal 15" xfId="182"/>
    <cellStyle name="Normal 3 8" xfId="183"/>
    <cellStyle name="Normal 2 10" xfId="184"/>
    <cellStyle name="Normal 4 8" xfId="185"/>
    <cellStyle name="Normal 2 2 7" xfId="186"/>
    <cellStyle name="Normal 5 8" xfId="187"/>
    <cellStyle name="Normal 6 7" xfId="188"/>
    <cellStyle name="Normal 2 3 8" xfId="189"/>
    <cellStyle name="Normal 7 6" xfId="190"/>
    <cellStyle name="Normal 3 2 6" xfId="191"/>
    <cellStyle name="Normal 2 4 6" xfId="192"/>
    <cellStyle name="Normal 9 6" xfId="193"/>
    <cellStyle name="Normal 4 2 6" xfId="194"/>
    <cellStyle name="Normal 2 2 2 5" xfId="195"/>
    <cellStyle name="Normal 5 2 6" xfId="196"/>
    <cellStyle name="Normal 6 2 6" xfId="197"/>
    <cellStyle name="Normal 2 3 2 6" xfId="198"/>
    <cellStyle name="Normal 8 6" xfId="199"/>
    <cellStyle name="Normal 3 3 6" xfId="200"/>
    <cellStyle name="Normal 2 5 6" xfId="201"/>
    <cellStyle name="Normal 4 3 6" xfId="202"/>
    <cellStyle name="Normal 2 2 3 6" xfId="203"/>
    <cellStyle name="Normal 5 3 6" xfId="204"/>
    <cellStyle name="Normal 6 3 6" xfId="205"/>
    <cellStyle name="Normal 2 3 3 6" xfId="206"/>
    <cellStyle name="Normal 11 5" xfId="207"/>
    <cellStyle name="Normal 6 2 2 5" xfId="208"/>
    <cellStyle name="Normal 9 2 5" xfId="209"/>
    <cellStyle name="Normal 2 2 2 2 4" xfId="210"/>
    <cellStyle name="Normal 10 4" xfId="211"/>
    <cellStyle name="Normal 6 4 4" xfId="212"/>
    <cellStyle name="Normal 12 2" xfId="213"/>
    <cellStyle name="Normal 3 5 2" xfId="214"/>
    <cellStyle name="Normal 2 7 2" xfId="215"/>
    <cellStyle name="Normal 4 5 2" xfId="216"/>
    <cellStyle name="Normal 5 5 2" xfId="217"/>
    <cellStyle name="Normal 2 3 5 2" xfId="218"/>
    <cellStyle name="Normal 8 3 2" xfId="219"/>
    <cellStyle name="Normal 3 3 3 2" xfId="220"/>
    <cellStyle name="Normal 2 5 3 2" xfId="221"/>
    <cellStyle name="Normal 4 3 3 2" xfId="222"/>
    <cellStyle name="Normal 2 2 3 3 2" xfId="223"/>
    <cellStyle name="Normal 5 3 3 2" xfId="224"/>
    <cellStyle name="Normal 6 3 3 2" xfId="225"/>
    <cellStyle name="Normal 2 3 3 3 2" xfId="226"/>
    <cellStyle name="Normal 7 3 2" xfId="227"/>
    <cellStyle name="Normal 3 2 3 2" xfId="228"/>
    <cellStyle name="Normal 2 4 3 2" xfId="229"/>
    <cellStyle name="Normal 4 2 3 2" xfId="230"/>
    <cellStyle name="Normal 5 2 3 2" xfId="231"/>
    <cellStyle name="Normal 6 2 3 2" xfId="232"/>
    <cellStyle name="Normal 2 3 2 3 2" xfId="233"/>
    <cellStyle name="Normal 9 3 2" xfId="234"/>
    <cellStyle name="Normal 3 4 4" xfId="235"/>
    <cellStyle name="Normal 2 6 4" xfId="236"/>
    <cellStyle name="Normal 4 4 4" xfId="237"/>
    <cellStyle name="Normal 2 2 4 4" xfId="238"/>
    <cellStyle name="Normal 5 4 4" xfId="239"/>
    <cellStyle name="Normal 2 3 4 4" xfId="240"/>
    <cellStyle name="Normal 7 2 4" xfId="241"/>
    <cellStyle name="Normal 3 2 2 4" xfId="242"/>
    <cellStyle name="Normal 2 4 2 4" xfId="243"/>
    <cellStyle name="Normal 9 2 2 2" xfId="244"/>
    <cellStyle name="Normal 4 2 2 4" xfId="245"/>
    <cellStyle name="Normal 5 2 2 4" xfId="246"/>
    <cellStyle name="Normal 6 2 2 2 2" xfId="247"/>
    <cellStyle name="Normal 2 3 2 2 4" xfId="248"/>
    <cellStyle name="Normal 8 2 4" xfId="249"/>
    <cellStyle name="Normal 3 3 2 4" xfId="250"/>
    <cellStyle name="Normal 2 5 2 4" xfId="251"/>
    <cellStyle name="Normal 4 3 2 4" xfId="252"/>
    <cellStyle name="Normal 2 2 3 2 4" xfId="253"/>
    <cellStyle name="Normal 5 3 2 4" xfId="254"/>
    <cellStyle name="Normal 6 3 2 4" xfId="255"/>
    <cellStyle name="Normal 2 3 3 2 4" xfId="256"/>
    <cellStyle name="Normal 11 2 2" xfId="257"/>
    <cellStyle name="Normal 13 2" xfId="258"/>
    <cellStyle name="Normal 3 6 2" xfId="259"/>
    <cellStyle name="Normal 2 8 2" xfId="260"/>
    <cellStyle name="Normal 4 6 2" xfId="261"/>
    <cellStyle name="Normal 2 2 5 2" xfId="262"/>
    <cellStyle name="Normal 5 6 2" xfId="263"/>
    <cellStyle name="Normal 6 5 2" xfId="264"/>
    <cellStyle name="Normal 2 3 6 2" xfId="265"/>
    <cellStyle name="Normal 8 4 2" xfId="266"/>
    <cellStyle name="Normal 3 3 4 2" xfId="267"/>
    <cellStyle name="Normal 2 5 4 2" xfId="268"/>
    <cellStyle name="Normal 4 3 4 2" xfId="269"/>
    <cellStyle name="Normal 2 2 3 4 2" xfId="270"/>
    <cellStyle name="Normal 5 3 4 2" xfId="271"/>
    <cellStyle name="Normal 6 3 4 2" xfId="272"/>
    <cellStyle name="Normal 2 3 3 4 2" xfId="273"/>
    <cellStyle name="Normal 7 4 2" xfId="274"/>
    <cellStyle name="Normal 3 2 4 2" xfId="275"/>
    <cellStyle name="Normal 2 4 4 2" xfId="276"/>
    <cellStyle name="Normal 4 2 4 2" xfId="277"/>
    <cellStyle name="Normal 2 2 2 3 2" xfId="278"/>
    <cellStyle name="Normal 5 2 4 2" xfId="279"/>
    <cellStyle name="Normal 6 2 4 2" xfId="280"/>
    <cellStyle name="Normal 2 3 2 4 2" xfId="281"/>
    <cellStyle name="Normal 9 4 2" xfId="282"/>
    <cellStyle name="Normal 10 2 2" xfId="283"/>
    <cellStyle name="Normal 3 4 2 2" xfId="284"/>
    <cellStyle name="Normal 2 6 2 2" xfId="285"/>
    <cellStyle name="Normal 4 4 2 2" xfId="286"/>
    <cellStyle name="Normal 2 2 4 2 2" xfId="287"/>
    <cellStyle name="Normal 5 4 2 2" xfId="288"/>
    <cellStyle name="Normal 6 4 2 2" xfId="289"/>
    <cellStyle name="Normal 2 3 4 2 2" xfId="290"/>
    <cellStyle name="Normal 7 2 2 2" xfId="291"/>
    <cellStyle name="Normal 3 2 2 2 2" xfId="292"/>
    <cellStyle name="Normal 2 4 2 2 2" xfId="293"/>
    <cellStyle name="Normal 9 2 3 2" xfId="294"/>
    <cellStyle name="Normal 4 2 2 2 2" xfId="295"/>
    <cellStyle name="Normal 2 2 2 2 2 2" xfId="296"/>
    <cellStyle name="Normal 5 2 2 2 2" xfId="297"/>
    <cellStyle name="Normal 6 2 2 3 2" xfId="298"/>
    <cellStyle name="Normal 2 3 2 2 2 2" xfId="299"/>
    <cellStyle name="Normal 8 2 2 2" xfId="300"/>
    <cellStyle name="Normal 3 3 2 2 2" xfId="301"/>
    <cellStyle name="Normal 2 5 2 2 2" xfId="302"/>
    <cellStyle name="Normal 4 3 2 2 2" xfId="303"/>
    <cellStyle name="Normal 2 2 3 2 2 2" xfId="304"/>
    <cellStyle name="Normal 5 3 2 2 2" xfId="305"/>
    <cellStyle name="Normal 6 3 2 2 2" xfId="306"/>
    <cellStyle name="Normal 2 3 3 2 2 2" xfId="307"/>
    <cellStyle name="Normal 11 3 2" xfId="308"/>
    <cellStyle name="Normal 14 2" xfId="309"/>
    <cellStyle name="Normal 3 7 2" xfId="310"/>
    <cellStyle name="Normal 2 9 2" xfId="311"/>
    <cellStyle name="Normal 4 7 2" xfId="312"/>
    <cellStyle name="Normal 2 2 6 2" xfId="313"/>
    <cellStyle name="Normal 5 7 2" xfId="314"/>
    <cellStyle name="Normal 6 6 2" xfId="315"/>
    <cellStyle name="Normal 2 3 7 2" xfId="316"/>
    <cellStyle name="Normal 8 5 2" xfId="317"/>
    <cellStyle name="Normal 3 3 5 2" xfId="318"/>
    <cellStyle name="Normal 2 5 5 2" xfId="319"/>
    <cellStyle name="Normal 4 3 5 2" xfId="320"/>
    <cellStyle name="Normal 2 2 3 5 2" xfId="321"/>
    <cellStyle name="Normal 5 3 5 2" xfId="322"/>
    <cellStyle name="Normal 6 3 5 2" xfId="323"/>
    <cellStyle name="Normal 2 3 3 5 2" xfId="324"/>
    <cellStyle name="Normal 7 5 2" xfId="325"/>
    <cellStyle name="Normal 3 2 5 2" xfId="326"/>
    <cellStyle name="Normal 2 4 5 2" xfId="327"/>
    <cellStyle name="Normal 4 2 5 2" xfId="328"/>
    <cellStyle name="Normal 2 2 2 4 2" xfId="329"/>
    <cellStyle name="Normal 5 2 5 2" xfId="330"/>
    <cellStyle name="Normal 6 2 5 2" xfId="331"/>
    <cellStyle name="Normal 2 3 2 5 2" xfId="332"/>
    <cellStyle name="Normal 9 5 2" xfId="333"/>
    <cellStyle name="Normal 10 3 2" xfId="334"/>
    <cellStyle name="Normal 3 4 3 2" xfId="335"/>
    <cellStyle name="Normal 2 6 3 2" xfId="336"/>
    <cellStyle name="Normal 4 4 3 2" xfId="337"/>
    <cellStyle name="Normal 2 2 4 3 2" xfId="338"/>
    <cellStyle name="Normal 5 4 3 2" xfId="339"/>
    <cellStyle name="Normal 6 4 3 2" xfId="340"/>
    <cellStyle name="Normal 2 3 4 3 2" xfId="341"/>
    <cellStyle name="Normal 7 2 3 2" xfId="342"/>
    <cellStyle name="Normal 3 2 2 3 2" xfId="343"/>
    <cellStyle name="Normal 2 4 2 3 2" xfId="344"/>
    <cellStyle name="Normal 9 2 4 2" xfId="345"/>
    <cellStyle name="Normal 4 2 2 3 2" xfId="346"/>
    <cellStyle name="Normal 2 2 2 2 3 2" xfId="347"/>
    <cellStyle name="Normal 5 2 2 3 2" xfId="348"/>
    <cellStyle name="Normal 6 2 2 4 2" xfId="349"/>
    <cellStyle name="Normal 2 3 2 2 3 2" xfId="350"/>
    <cellStyle name="Normal 8 2 3 2" xfId="351"/>
    <cellStyle name="Normal 3 3 2 3 2" xfId="352"/>
    <cellStyle name="Normal 2 5 2 3 2" xfId="353"/>
    <cellStyle name="Normal 4 3 2 3 2" xfId="354"/>
    <cellStyle name="Normal 2 2 3 2 3 2" xfId="355"/>
    <cellStyle name="Normal 5 3 2 3 2" xfId="356"/>
    <cellStyle name="Normal 6 3 2 3 2" xfId="357"/>
    <cellStyle name="Normal 2 3 3 2 3 2" xfId="358"/>
    <cellStyle name="Normal 11 4 2" xfId="359"/>
  </cellStyles>
  <tableStyles count="0"/>
  <extLst>
    <ext uri="smNativeData">
      <pm:charStyles xmlns:pm="smNativeData" count="1" id="1542774493">
        <pm:charStyle Id="1" fontId="0" name="Normal"/>
      </pm:charStyles>
      <pm:colors xmlns:pm="smNativeData" count="6" id="1542774493">
        <pm:color name="Color 24" rgb="FA7D00"/>
        <pm:color name="Color 25" rgb="E26B0A"/>
        <pm:color name="Color 26" rgb="F2F2F2"/>
        <pm:color name="Color 27" rgb="8064A2"/>
        <pm:color name="Color 28" rgb="538DD5"/>
        <pm:color name="Color 29" rgb="538DD5"/>
      </pm:colors>
    </ext>
  </extLst>
</styleSheet>
</file>

<file path=xl/_rels/workbook.xml.rels><?xml version="1.0" encoding="UTF-8" standalone="no"?>
<Relationships xmlns="http://schemas.openxmlformats.org/package/2006/relationships">
<Relationship Id="rId1" Target="theme/theme1.xml" Type="http://schemas.openxmlformats.org/officeDocument/2006/relationships/theme"/>
<Relationship Id="rId2" Target="sharedStrings.xml" Type="http://schemas.openxmlformats.org/officeDocument/2006/relationships/sharedStrings"/>
<Relationship Id="rId3" Target="styles.xml" Type="http://schemas.openxmlformats.org/officeDocument/2006/relationships/styles"/>
<Relationship Id="rId4" Target="vbaProject.bin" Type="http://schemas.microsoft.com/office/2006/relationships/vbaProject"/>
<Relationship Id="rId5" Target="worksheets/sheet1.xml" Type="http://schemas.openxmlformats.org/officeDocument/2006/relationships/worksheet"/>
<Relationship Id="rId6" Target="worksheets/sheet2.xml" Type="http://schemas.openxmlformats.org/officeDocument/2006/relationships/worksheet"/>
<Relationship Id="rId7" Target="worksheets/sheet3.xml" Type="http://schemas.openxmlformats.org/officeDocument/2006/relationships/worksheet"/>
<Relationship Id="rId8" Target="worksheets/sheet4.xml" Type="http://schemas.openxmlformats.org/officeDocument/2006/relationships/worksheet"/>
<Relationship Id="rId9" Target="worksheets/sheet5.xml" Type="http://schemas.openxmlformats.org/officeDocument/2006/relationships/worksheet"/>
</Relationships>
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roundedCorners val="0"/>
  <c:chart>
    <c:title>
      <c:tx>
        <c:rich>
          <a:bodyPr anchor="ctr" anchorCtr="1"/>
          <a:lstStyle/>
          <a:p>
            <a:pPr>
              <a:defRPr b="1" i="0" kern="100" lang="en-us" strike="noStrike" sz="1400" u="none">
                <a:solidFill>
                  <a:srgbClr val="595959"/>
                </a:solidFill>
                <a:latin charset="0" typeface="Calibri"/>
              </a:defRPr>
            </a:pPr>
            <a:r>
              <a:t>Project</a:t>
            </a:r>
          </a:p>
        </c:rich>
      </c:tx>
      <c:layout/>
      <c:overlay val="0"/>
      <c:spPr>
        <a:noFill/>
        <a:ln w="9525">
          <a:noFill/>
        </a:ln>
      </c:spPr>
    </c:title>
    <c:view3D/>
    <c:plotArea>
      <c:layout/>
      <c:pieChart>
        <c:varyColors val="1"/>
        <c:ser>
          <c:idx val="0"/>
          <c:order val="0"/>
          <c:dPt>
            <c:idx val="0"/>
            <c:invertIfNegative val="0"/>
            <c:explosion val="0"/>
            <c:spPr>
              <a:solidFill>
                <a:srgbClr val="4F81BD"/>
              </a:solidFill>
              <a:ln w="19050">
                <a:solidFill>
                  <a:srgbClr val="FFFFFF"/>
                </a:solidFill>
              </a:ln>
            </c:spPr>
          </c:dPt>
          <c:dPt>
            <c:idx val="1"/>
            <c:invertIfNegative val="0"/>
            <c:explosion val="0"/>
            <c:spPr>
              <a:solidFill>
                <a:srgbClr val="C0504D"/>
              </a:solidFill>
              <a:ln w="19050">
                <a:solidFill>
                  <a:srgbClr val="FFFFFF"/>
                </a:solidFill>
              </a:ln>
            </c:spPr>
          </c:dPt>
          <c:dLbls>
            <c:numFmt formatCode="General" sourceLinked="1"/>
            <c:spPr>
              <a:noFill/>
              <a:ln w="9525">
                <a:noFill/>
              </a:ln>
            </c:spPr>
            <c:txPr>
              <a:bodyPr anchor="ctr" anchorCtr="1"/>
              <a:lstStyle/>
              <a:p>
                <a:pPr>
                  <a:defRPr b="0" i="0" kern="100" lang="en-us" strike="noStrike" sz="900" u="none">
                    <a:solidFill>
                      <a:srgbClr val="3F3F3F"/>
                    </a:solidFill>
                    <a:latin charset="0" typeface="Calibri"/>
                  </a:defRPr>
                </a:pPr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0"/>
          </c:dLbls>
          <c:cat>
            <c:strRef>
              <c:f>'Test Report'!$H$7:$I$7</c:f>
              <c:strCache>
                <c:ptCount val="2"/>
                <c:pt idx="0">
                  <c:v>Passed</c:v>
                </c:pt>
                <c:pt idx="1">
                  <c:v>Failed</c:v>
                </c:pt>
              </c:strCache>
            </c:strRef>
          </c:cat>
          <c:val>
            <c:numRef>
              <c:f>'Test Report'!$H$8:$I$8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sm="smo" uri="smo">
              <sm:meanLine>
                <c:spPr>
                  <a:ln w="9525">
                    <a:noFill/>
                  </a:ln>
                </c:spPr>
              </sm:meanLine>
              <sm:minMaxLine>
                <c:spPr>
                  <a:ln w="9525">
                    <a:noFill/>
                  </a:ln>
                </c:spPr>
              </sm:minMaxLine>
              <sm:stDevLine>
                <c:spPr>
                  <a:ln w="9525">
                    <a:noFill/>
                  </a:ln>
                </c:spPr>
              </sm:stDevLine>
              <sm:trendLine>
                <c:spPr>
                  <a:ln w="9525">
                    <a:noFill/>
                  </a:ln>
                </c:spPr>
              </sm:trendLin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Chart>
      <c:spPr>
        <a:noFill/>
        <a:ln w="9525">
          <a:noFill/>
        </a:ln>
      </c:spPr>
    </c:plotArea>
    <c:legend>
      <c:legendPos val="b"/>
      <c:layout/>
      <c:overlay val="0"/>
      <c:spPr>
        <a:noFill/>
        <a:ln w="9525">
          <a:noFill/>
        </a:ln>
      </c:spPr>
      <c:txPr>
        <a:bodyPr/>
        <a:lstStyle/>
        <a:p>
          <a:pPr>
            <a:defRPr b="0" i="0" kern="100" lang="en-us" strike="noStrike" sz="900" u="none">
              <a:solidFill>
                <a:srgbClr val="595959"/>
              </a:solidFill>
              <a:latin charset="0" typeface="Calibri"/>
            </a:defRPr>
          </a:pPr>
        </a:p>
      </c:txPr>
    </c:legend>
    <c:plotVisOnly val="1"/>
    <c:dispBlanksAs val="gap"/>
  </c:chart>
  <c:spPr>
    <a:solidFill>
      <a:srgbClr val="FFFFFF"/>
    </a:solidFill>
    <a:ln w="9525">
      <a:solidFill>
        <a:srgbClr val="D8D8D8"/>
      </a:solidFill>
    </a:ln>
  </c:spPr>
  <c:txPr>
    <a:bodyPr anchor="t" rot="0"/>
    <a:lstStyle/>
    <a:p>
      <a:pPr>
        <a:defRPr b="0" i="0" kern="100" lang="en-us" strike="noStrike" sz="1000" u="none">
          <a:solidFill>
            <a:srgbClr val="000000"/>
          </a:solidFill>
          <a:latin charset="0" typeface="Calibri"/>
        </a:defRPr>
      </a:pPr>
    </a:p>
  </c:txPr>
  <c:extLst>
    <c:ext xmlns:sm="smo" uri="smo">
      <sm:colorScheme id="1542774493" val="15"/>
    </c:ext>
  </c:extLst>
</c:chartSpac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5" name="Rectangle 3"/>
        <xdr:cNvSpPr>
          <a:extLst>
            <a:ext uri="smNativeData">
              <pm:smNativeData xmlns:pm="smNativeData" val="SMDATA_14_3d70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P////8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4" name="Rectangle 2"/>
        <xdr:cNvSpPr>
          <a:extLst>
            <a:ext uri="smNativeData">
              <pm:smNativeData xmlns:pm="smNativeData" val="SMDATA_14_3d70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P////8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3" name="Rectangle 1"/>
        <xdr:cNvSpPr>
          <a:extLst>
            <a:ext uri="smNativeData">
              <pm:smNativeData xmlns:pm="smNativeData" val="SMDATA_14_3d70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LyLzwE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>
    <xdr:from>
      <xdr:col>9</xdr:col>
      <xdr:colOff>219710</xdr:colOff>
      <xdr:row>6</xdr:row>
      <xdr:rowOff>0</xdr:rowOff>
    </xdr:from>
    <xdr:to>
      <xdr:col>16</xdr:col>
      <xdr:colOff>219075</xdr:colOff>
      <xdr:row>20</xdr:row>
      <xdr:rowOff>95250</xdr:rowOff>
    </xdr:to>
    <xdr:graphicFrame macro="">
      <xdr:nvGraphicFramePr>
        <xdr:cNvPr id="2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EEECE1"/>
      </a:dk2>
      <a:lt2>
        <a:srgbClr val="1F497D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SimSun"/>
        <a:cs typeface="Times New Roma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no"?>
<Relationships xmlns="http://schemas.openxmlformats.org/package/2006/relationships">
<Relationship Id="rId1" Target="../drawings/drawing1.xml" Type="http://schemas.openxmlformats.org/officeDocument/2006/relationships/drawing"/>
</Relationships>
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L26"/>
  <sheetViews>
    <sheetView showGridLines="0" topLeftCell="A4" view="normal" workbookViewId="0">
      <selection activeCell="B21" sqref="B21"/>
    </sheetView>
  </sheetViews>
  <sheetFormatPr defaultRowHeight="13.45"/>
  <cols>
    <col min="1" max="1" customWidth="true" style="7" width="5.0" collapsed="false"/>
    <col min="2" max="2" customWidth="true" style="7" width="40.285714" collapsed="false"/>
    <col min="3" max="3" customWidth="true" style="7" width="27.857143" collapsed="false"/>
    <col min="4" max="4" customWidth="true" style="7" width="15.285714" collapsed="false"/>
    <col min="5" max="5" customWidth="true" style="7" width="18.857143" collapsed="false"/>
    <col min="6" max="6" customWidth="true" style="7" width="26.714286" collapsed="false"/>
    <col min="7" max="7" customWidth="true" style="7" width="10.142857" collapsed="false"/>
    <col min="8" max="9" customWidth="true" style="7" width="16.142857" collapsed="false"/>
    <col min="10" max="10" customWidth="true" style="7" width="14.0" collapsed="false"/>
    <col min="11" max="11" customWidth="true" style="7" width="16.0" collapsed="false"/>
    <col min="12" max="16384" customWidth="true" style="7" width="8.857143" collapsed="false"/>
  </cols>
  <sheetData>
    <row customHeight="1" ht="23.10" r="2" spans="3:3">
      <c r="C2" s="399" t="s">
        <v>0</v>
      </c>
    </row>
    <row r="3" spans="3:3">
      <c r="C3" s="399"/>
    </row>
    <row r="4" spans="3:3">
      <c r="C4" s="399"/>
    </row>
    <row r="5" spans="3:3">
      <c r="C5" s="399"/>
    </row>
    <row customHeight="1" ht="26.10" r="6" spans="1:1"/>
    <row r="7" spans="2:11">
      <c r="B7" s="374" t="s">
        <v>1</v>
      </c>
      <c r="C7" s="389"/>
      <c r="H7" s="368"/>
      <c r="I7" s="368"/>
      <c r="J7" s="368"/>
      <c r="K7" s="368"/>
    </row>
    <row r="8" spans="2:11">
      <c r="B8" s="374" t="s">
        <v>2</v>
      </c>
      <c r="C8" s="389"/>
      <c r="H8" s="368"/>
      <c r="I8" s="368"/>
      <c r="J8" s="368"/>
      <c r="K8" s="368"/>
    </row>
    <row r="9" spans="2:11">
      <c r="B9" s="369"/>
      <c r="C9" s="370"/>
      <c r="D9" s="368"/>
      <c r="E9" s="368"/>
      <c r="F9" s="368"/>
      <c r="G9" s="368"/>
      <c r="H9" s="368"/>
      <c r="I9" s="368"/>
      <c r="J9" s="368"/>
      <c r="K9" s="368"/>
    </row>
    <row r="10" spans="2:11">
      <c r="B10" s="375" t="s">
        <v>3</v>
      </c>
      <c r="C10" s="390"/>
      <c r="D10" s="368"/>
      <c r="E10" s="375" t="s">
        <v>4</v>
      </c>
      <c r="F10" s="391"/>
      <c r="G10" s="368"/>
      <c r="H10" s="368"/>
      <c r="I10" s="368"/>
      <c r="J10" s="368"/>
      <c r="K10" s="368"/>
    </row>
    <row r="11" spans="2:11">
      <c r="B11" s="375" t="s">
        <v>5</v>
      </c>
      <c r="C11" s="390"/>
      <c r="D11" s="368"/>
      <c r="E11" s="376" t="s">
        <v>6</v>
      </c>
      <c r="F11" s="391"/>
      <c r="G11" s="368"/>
      <c r="H11" s="368"/>
      <c r="I11" s="368"/>
      <c r="J11" s="368"/>
      <c r="K11" s="368"/>
    </row>
    <row r="12" spans="2:11">
      <c r="B12" s="375" t="s">
        <v>7</v>
      </c>
      <c r="C12" s="390"/>
      <c r="D12" s="368"/>
      <c r="E12" s="375" t="s">
        <v>8</v>
      </c>
      <c r="F12" s="391"/>
      <c r="G12" s="368"/>
      <c r="H12" s="368"/>
      <c r="I12" s="368"/>
      <c r="J12" s="368"/>
      <c r="K12" s="368"/>
    </row>
    <row r="13" spans="2:11">
      <c r="B13" s="376" t="s">
        <v>9</v>
      </c>
      <c r="C13" s="390"/>
      <c r="D13" s="368"/>
      <c r="E13" s="375" t="s">
        <v>10</v>
      </c>
      <c r="F13" s="392"/>
      <c r="G13" s="368"/>
      <c r="H13" s="368"/>
      <c r="I13" s="368"/>
      <c r="J13" s="368"/>
      <c r="K13" s="368"/>
    </row>
    <row r="14" spans="2:11">
      <c r="B14" s="368"/>
      <c r="C14" s="368"/>
      <c r="D14" s="368"/>
      <c r="E14" s="368"/>
      <c r="F14" s="368"/>
      <c r="G14" s="368"/>
      <c r="H14" s="368"/>
      <c r="I14" s="368"/>
      <c r="J14" s="368"/>
      <c r="K14" s="368"/>
    </row>
    <row r="15" spans="2:11">
      <c r="B15" s="371"/>
      <c r="C15" s="371"/>
      <c r="D15" s="371"/>
      <c r="E15" s="371"/>
      <c r="F15" s="371"/>
      <c r="G15" s="371"/>
      <c r="H15" s="371"/>
      <c r="I15" s="371"/>
      <c r="J15" s="371"/>
      <c r="K15" s="371"/>
    </row>
    <row r="16" spans="2:11">
      <c r="B16" s="400" t="s">
        <v>11</v>
      </c>
      <c r="C16" s="400"/>
      <c r="D16" s="400"/>
      <c r="E16" s="400"/>
      <c r="F16" s="400"/>
      <c r="G16" s="400"/>
      <c r="H16" s="400"/>
      <c r="I16" s="400"/>
      <c r="J16" s="400"/>
      <c r="K16" s="400"/>
    </row>
    <row r="17" spans="2:11">
      <c r="B17" s="377" t="s">
        <v>12</v>
      </c>
      <c r="C17" s="377" t="s">
        <v>13</v>
      </c>
      <c r="D17" s="377" t="s">
        <v>14</v>
      </c>
      <c r="E17" s="377" t="s">
        <v>15</v>
      </c>
      <c r="F17" s="377" t="s">
        <v>16</v>
      </c>
      <c r="G17" s="377" t="s">
        <v>17</v>
      </c>
      <c r="H17" s="377" t="s">
        <v>18</v>
      </c>
      <c r="I17" s="377" t="s">
        <v>19</v>
      </c>
      <c r="J17" s="377" t="s">
        <v>20</v>
      </c>
      <c r="K17" s="377" t="s">
        <v>21</v>
      </c>
    </row>
    <row r="18" spans="2:11">
      <c r="B18" s="372"/>
      <c r="C18" s="378"/>
      <c r="D18" s="379"/>
      <c r="E18" s="360"/>
      <c r="F18" s="380"/>
      <c r="G18" s="361"/>
      <c r="H18" s="362"/>
      <c r="I18" s="363"/>
      <c r="J18" s="361"/>
      <c r="K18" s="362"/>
    </row>
    <row r="19" spans="2:11">
      <c r="B19" s="372"/>
      <c r="C19" s="378"/>
      <c r="D19" s="379"/>
      <c r="E19" s="360"/>
      <c r="F19" s="380"/>
      <c r="G19" s="361"/>
      <c r="H19" s="362"/>
      <c r="I19" s="363"/>
      <c r="J19" s="361"/>
      <c r="K19" s="362"/>
    </row>
    <row r="20" spans="2:11">
      <c r="B20" s="373"/>
      <c r="C20" s="378"/>
      <c r="D20" s="379"/>
      <c r="E20" s="360"/>
      <c r="F20" s="380"/>
      <c r="G20" s="361"/>
      <c r="H20" s="362"/>
      <c r="I20" s="363"/>
      <c r="J20" s="361"/>
      <c r="K20" s="362"/>
    </row>
    <row r="21" spans="2:11">
      <c r="B21" s="373"/>
      <c r="C21" s="378"/>
      <c r="D21" s="379"/>
      <c r="E21" s="360"/>
      <c r="F21" s="380"/>
      <c r="G21" s="361"/>
      <c r="H21" s="362"/>
      <c r="I21" s="363"/>
      <c r="J21" s="361"/>
      <c r="K21" s="362"/>
    </row>
    <row r="23" spans="2:7">
      <c r="B23" s="401" t="s">
        <v>22</v>
      </c>
      <c r="C23" s="402"/>
      <c r="D23" s="402"/>
      <c r="E23" s="402"/>
      <c r="F23" s="402"/>
      <c r="G23" s="402"/>
    </row>
    <row r="24" spans="2:7">
      <c r="B24" s="364" t="s">
        <v>23</v>
      </c>
      <c r="C24" s="365" t="s">
        <v>24</v>
      </c>
      <c r="D24" s="366"/>
      <c r="E24" s="366"/>
      <c r="F24" s="366"/>
      <c r="G24" s="367"/>
    </row>
    <row r="25" spans="2:7">
      <c r="B25" s="364"/>
      <c r="C25" s="365"/>
      <c r="D25" s="366"/>
      <c r="E25" s="366"/>
      <c r="F25" s="366"/>
      <c r="G25" s="367"/>
    </row>
    <row r="26" spans="2:7">
      <c r="B26" s="364"/>
      <c r="C26" s="365"/>
      <c r="D26" s="366"/>
      <c r="E26" s="366"/>
      <c r="F26" s="366"/>
      <c r="G26" s="367"/>
    </row>
  </sheetData>
  <mergeCells count="3">
    <mergeCell ref="C2:C5"/>
    <mergeCell ref="B16:K16"/>
    <mergeCell ref="B23:G23"/>
  </mergeCells>
  <dataValidations count="1">
    <dataValidation allowBlank="1" errorStyle="stop" operator="between" showErrorMessage="1" showInputMessage="1" sqref="C12" type="list" view="0">
      <formula1>"None,2G,2,5G,2,75G,3G"</formula1>
    </dataValidation>
  </dataValidations>
  <printOptions>
    <extLst>
      <ext uri="smNativeData">
        <pm:pageFlags xmlns:pm="smNativeData" autoHeightFooter="0" autoHeightHeader="0" fitToPageBoth="0" id="1542774493" printColHead="0" printFootLine="0" printHeadLine="0" printRowHead="0"/>
      </ext>
    </extLst>
  </printOptions>
  <pageMargins bottom="0.790278" footer="0.500000" header="0.500000" left="0.459722" right="0.559722" top="0.590278"/>
  <pageSetup fitToHeight="1" fitToWidth="0" paperSize="9"/>
  <headerFooter>
    <extLst>
      <ext uri="smNativeData">
        <pm:header xmlns:pm="smNativeData" b="56" borderId="0" fillId="0" id="1542774493" l="56" r="56" t="56" vertical="0"/>
        <pm:footer xmlns:pm="smNativeData" b="56" borderId="0" fillId="0" id="1542774493" l="56" r="56" t="56" vertical="2"/>
        <pm:paperBin xmlns:pm="smNativeData" Id="0" id="1542774493" type="0" value="0"/>
        <pm:paperBin xmlns:pm="smNativeData" Id="1" id="1542774493" type="0" value="0"/>
      </ext>
    </extLst>
  </headerFooter>
  <extLst>
    <ext uri="smNativeData">
      <pm:sheetPrefs xmlns:pm="smNativeData" day="1542774493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 filterMode="1"/>
  <dimension ref="A1:Z50"/>
  <sheetViews>
    <sheetView tabSelected="1" view="normal" workbookViewId="0" zoomScale="85">
      <pane activePane="bottomRight" state="frozen" topLeftCell="I32" xSplit="7" ySplit="1"/>
      <selection activeCell="F45" pane="bottomRight" sqref="F45"/>
    </sheetView>
  </sheetViews>
  <sheetFormatPr defaultRowHeight="15.40"/>
  <cols>
    <col min="1" max="1" customWidth="true" width="13.285714" collapsed="false"/>
    <col min="2" max="2" customWidth="true" width="14.0" collapsed="false"/>
    <col min="3" max="3" customWidth="true" width="9.857143" collapsed="false"/>
    <col min="4" max="4" customWidth="true" width="24.285714" collapsed="false"/>
    <col min="5" max="5" customWidth="true" width="9.857143" collapsed="false"/>
    <col min="6" max="6" customWidth="true" width="10.285714" collapsed="false"/>
    <col min="7" max="7" customWidth="true" width="8.857143" collapsed="false"/>
    <col min="8" max="8" customWidth="true" width="10.285714" collapsed="false"/>
    <col min="9" max="9" customWidth="true" width="37.857143" collapsed="false"/>
    <col min="10" max="10" customWidth="true" width="25.571429" collapsed="false"/>
    <col min="11" max="11" customWidth="true" width="57.285714" collapsed="false"/>
    <col min="12" max="12" customWidth="true" width="22.285714" collapsed="false"/>
    <col min="13" max="13" customWidth="true" width="26.571429" collapsed="false"/>
    <col min="14" max="23" customWidth="true" width="27.571429" collapsed="false"/>
    <col min="24" max="24" customWidth="true" width="48.0" collapsed="false"/>
    <col min="25" max="25" customWidth="true" width="26.428571" collapsed="false"/>
  </cols>
  <sheetData>
    <row r="1" spans="1:25">
      <c r="A1" s="407" t="s">
        <v>12</v>
      </c>
      <c r="B1" s="407" t="s">
        <v>25</v>
      </c>
      <c r="C1" s="407" t="s">
        <v>26</v>
      </c>
      <c r="D1" s="407" t="s">
        <v>27</v>
      </c>
      <c r="E1" s="407" t="s">
        <v>28</v>
      </c>
      <c r="F1" s="407" t="s">
        <v>29</v>
      </c>
      <c r="G1" s="407" t="s">
        <v>30</v>
      </c>
      <c r="H1" s="407" t="s">
        <v>31</v>
      </c>
      <c r="I1" s="407" t="s">
        <v>32</v>
      </c>
      <c r="J1" s="407" t="s">
        <v>33</v>
      </c>
      <c r="K1" s="407" t="s">
        <v>34</v>
      </c>
      <c r="L1" s="407" t="s">
        <v>35</v>
      </c>
      <c r="M1" s="407" t="s">
        <v>36</v>
      </c>
      <c r="N1" s="407" t="s">
        <v>37</v>
      </c>
      <c r="O1" s="407" t="s">
        <v>38</v>
      </c>
      <c r="P1" s="407" t="s">
        <v>39</v>
      </c>
      <c r="Q1" s="407" t="s">
        <v>40</v>
      </c>
      <c r="R1" s="407" t="s">
        <v>41</v>
      </c>
      <c r="S1" s="407" t="s">
        <v>42</v>
      </c>
      <c r="T1" s="407" t="s">
        <v>43</v>
      </c>
      <c r="U1" s="407" t="s">
        <v>44</v>
      </c>
      <c r="V1" s="407" t="s">
        <v>45</v>
      </c>
      <c r="W1" s="407" t="s">
        <v>46</v>
      </c>
      <c r="X1" s="407" t="s">
        <v>47</v>
      </c>
      <c r="Y1" s="407" t="s">
        <v>48</v>
      </c>
    </row>
    <row r="2" spans="1:25">
      <c r="A2" s="397" t="s">
        <v>49</v>
      </c>
      <c r="B2" s="394"/>
      <c r="C2" s="396" t="s">
        <v>50</v>
      </c>
      <c r="D2" s="394" t="s">
        <v>51</v>
      </c>
      <c r="E2" s="394" t="s">
        <v>52</v>
      </c>
      <c r="F2" s="394" t="s">
        <v>53</v>
      </c>
      <c r="G2" s="414" t="s">
        <v>363</v>
      </c>
      <c r="H2" s="394"/>
      <c r="I2" s="394"/>
      <c r="J2" s="394"/>
      <c r="K2" s="394" t="str">
        <f>_XLFN.IFERROR(VLOOKUP(J2,Keyword!$C$2:$D$533,2,FALSE),"")</f>
        <v/>
      </c>
      <c r="L2" s="394"/>
      <c r="M2" s="394"/>
      <c r="N2" s="394"/>
      <c r="O2" s="394"/>
      <c r="P2" s="394"/>
      <c r="Q2" s="394"/>
      <c r="R2" s="394"/>
      <c r="S2" s="394"/>
      <c r="T2" s="394"/>
      <c r="U2" s="394"/>
      <c r="V2" s="394"/>
      <c r="W2" s="394"/>
      <c r="X2" s="394"/>
      <c r="Y2" s="394"/>
    </row>
    <row r="3" spans="1:25">
      <c r="A3" s="394" t="s">
        <v>54</v>
      </c>
      <c r="B3" s="394" t="s">
        <v>54</v>
      </c>
      <c r="C3" s="394" t="s">
        <v>54</v>
      </c>
      <c r="D3" s="394" t="s">
        <v>54</v>
      </c>
      <c r="E3" s="394" t="s">
        <v>54</v>
      </c>
      <c r="F3" s="394" t="s">
        <v>54</v>
      </c>
      <c r="G3" s="394" t="s">
        <v>363</v>
      </c>
      <c r="H3" s="394" t="s">
        <v>357</v>
      </c>
      <c r="I3" s="394" t="s">
        <v>55</v>
      </c>
      <c r="J3" s="394" t="s">
        <v>56</v>
      </c>
      <c r="K3" s="394" t="str">
        <f>_XLFN.IFERROR(VLOOKUP(J3,Keyword!$C$2:$D$533,2,FALSE),"")</f>
        <v>Go to the specified URL
- Value 1(*): URL of the web page to be opened</v>
      </c>
      <c r="L3" s="394" t="s">
        <v>54</v>
      </c>
      <c r="M3" s="394" t="s">
        <v>54</v>
      </c>
      <c r="N3" s="394" t="s">
        <v>57</v>
      </c>
      <c r="O3" s="394" t="s">
        <v>54</v>
      </c>
      <c r="P3" s="394" t="s">
        <v>54</v>
      </c>
      <c r="Q3" s="394" t="s">
        <v>54</v>
      </c>
      <c r="R3" s="394" t="s">
        <v>54</v>
      </c>
      <c r="S3" s="394" t="s">
        <v>54</v>
      </c>
      <c r="T3" s="394" t="s">
        <v>54</v>
      </c>
      <c r="U3" s="394" t="s">
        <v>54</v>
      </c>
      <c r="V3" s="394" t="s">
        <v>54</v>
      </c>
      <c r="W3" s="394" t="s">
        <v>54</v>
      </c>
      <c r="X3" s="394" t="s">
        <v>54</v>
      </c>
      <c r="Y3" s="394" t="s">
        <v>54</v>
      </c>
    </row>
    <row r="4" spans="1:25">
      <c r="A4" s="397" t="s">
        <v>49</v>
      </c>
      <c r="B4" s="394"/>
      <c r="C4" s="396" t="s">
        <v>58</v>
      </c>
      <c r="D4" s="394" t="s">
        <v>59</v>
      </c>
      <c r="E4" s="394"/>
      <c r="F4" s="394" t="s">
        <v>53</v>
      </c>
      <c r="G4" s="422" t="s">
        <v>363</v>
      </c>
      <c r="H4" s="394"/>
      <c r="I4" s="394"/>
      <c r="J4" s="394"/>
      <c r="K4" s="394"/>
      <c r="L4" s="394"/>
      <c r="M4" s="394"/>
      <c r="N4" s="394"/>
      <c r="O4" s="394"/>
      <c r="P4" s="394"/>
      <c r="Q4" s="394"/>
      <c r="R4" s="394"/>
      <c r="S4" s="394"/>
      <c r="T4" s="394"/>
      <c r="U4" s="394"/>
      <c r="V4" s="394"/>
      <c r="W4" s="394"/>
      <c r="X4" s="394"/>
      <c r="Y4" s="394"/>
    </row>
    <row r="5" spans="1:25">
      <c r="A5" s="394" t="s">
        <v>54</v>
      </c>
      <c r="B5" s="394" t="s">
        <v>54</v>
      </c>
      <c r="C5" s="394" t="s">
        <v>54</v>
      </c>
      <c r="D5" s="394" t="s">
        <v>54</v>
      </c>
      <c r="E5" s="394" t="s">
        <v>54</v>
      </c>
      <c r="F5" s="394" t="s">
        <v>54</v>
      </c>
      <c r="G5" s="394" t="s">
        <v>363</v>
      </c>
      <c r="H5" s="394" t="s">
        <v>357</v>
      </c>
      <c r="I5" s="394" t="s">
        <v>60</v>
      </c>
      <c r="J5" s="394" t="s">
        <v>61</v>
      </c>
      <c r="K5" s="394" t="str">
        <f>_XLFN.IFERROR(VLOOKUP(J5,Keyword!$C$2:$D$533,2,FALSE),"")</f>
        <v>Input value into an input field
- Locator(*): Locator of the element to be inputted
- Value 1: The text to type in</v>
      </c>
      <c r="L5" s="394" t="s">
        <v>54</v>
      </c>
      <c r="M5" s="394" t="s">
        <v>62</v>
      </c>
      <c r="N5" s="394" t="s">
        <v>63</v>
      </c>
      <c r="O5" s="394" t="s">
        <v>54</v>
      </c>
      <c r="P5" s="394" t="s">
        <v>54</v>
      </c>
      <c r="Q5" s="394" t="s">
        <v>54</v>
      </c>
      <c r="R5" s="394" t="s">
        <v>54</v>
      </c>
      <c r="S5" s="394" t="s">
        <v>54</v>
      </c>
      <c r="T5" s="394" t="s">
        <v>54</v>
      </c>
      <c r="U5" s="394" t="s">
        <v>54</v>
      </c>
      <c r="V5" s="394" t="s">
        <v>54</v>
      </c>
      <c r="W5" s="394" t="s">
        <v>54</v>
      </c>
      <c r="X5" s="394" t="s">
        <v>54</v>
      </c>
      <c r="Y5" s="394" t="s">
        <v>54</v>
      </c>
    </row>
    <row r="6" spans="1:25">
      <c r="A6" s="394" t="s">
        <v>54</v>
      </c>
      <c r="B6" s="394" t="s">
        <v>54</v>
      </c>
      <c r="C6" s="394" t="s">
        <v>54</v>
      </c>
      <c r="D6" s="394" t="s">
        <v>54</v>
      </c>
      <c r="E6" s="394" t="s">
        <v>54</v>
      </c>
      <c r="F6" s="394" t="s">
        <v>54</v>
      </c>
      <c r="G6" s="394" t="s">
        <v>363</v>
      </c>
      <c r="H6" s="394" t="s">
        <v>358</v>
      </c>
      <c r="I6" s="394" t="s">
        <v>64</v>
      </c>
      <c r="J6" s="394" t="s">
        <v>61</v>
      </c>
      <c r="K6" s="394" t="str">
        <f>_XLFN.IFERROR(VLOOKUP(J6,Keyword!$C$2:$D$533,2,FALSE),"")</f>
        <v>Input value into an input field
- Locator(*): Locator of the element to be inputted
- Value 1: The text to type in</v>
      </c>
      <c r="L6" s="394" t="s">
        <v>54</v>
      </c>
      <c r="M6" s="394" t="s">
        <v>65</v>
      </c>
      <c r="N6" s="394" t="s">
        <v>66</v>
      </c>
      <c r="O6" s="394" t="s">
        <v>54</v>
      </c>
      <c r="P6" s="394" t="s">
        <v>54</v>
      </c>
      <c r="Q6" s="394" t="s">
        <v>54</v>
      </c>
      <c r="R6" s="394" t="s">
        <v>54</v>
      </c>
      <c r="S6" s="394" t="s">
        <v>54</v>
      </c>
      <c r="T6" s="394" t="s">
        <v>54</v>
      </c>
      <c r="U6" s="394" t="s">
        <v>54</v>
      </c>
      <c r="V6" s="394" t="s">
        <v>54</v>
      </c>
      <c r="W6" s="394" t="s">
        <v>54</v>
      </c>
      <c r="X6" s="394" t="s">
        <v>54</v>
      </c>
      <c r="Y6" s="394" t="s">
        <v>54</v>
      </c>
    </row>
    <row r="7" spans="1:25">
      <c r="A7" s="394" t="s">
        <v>54</v>
      </c>
      <c r="B7" s="394" t="s">
        <v>54</v>
      </c>
      <c r="C7" s="394" t="s">
        <v>54</v>
      </c>
      <c r="D7" s="394" t="s">
        <v>54</v>
      </c>
      <c r="E7" s="394" t="s">
        <v>54</v>
      </c>
      <c r="F7" s="394" t="s">
        <v>54</v>
      </c>
      <c r="G7" s="394" t="s">
        <v>363</v>
      </c>
      <c r="H7" s="394" t="s">
        <v>359</v>
      </c>
      <c r="I7" s="394" t="s">
        <v>67</v>
      </c>
      <c r="J7" s="394" t="s">
        <v>68</v>
      </c>
      <c r="K7" s="394" t="str">
        <f>_XLFN.IFERROR(VLOOKUP(J7,Keyword!$C$2:$D$533,2,FALSE),"")</f>
        <v>Click on the given element
- Locator(*): Locator of the element to be clicked</v>
      </c>
      <c r="L7" s="394" t="s">
        <v>54</v>
      </c>
      <c r="M7" s="394" t="s">
        <v>69</v>
      </c>
      <c r="N7" s="394" t="s">
        <v>54</v>
      </c>
      <c r="O7" s="394" t="s">
        <v>54</v>
      </c>
      <c r="P7" s="394" t="s">
        <v>54</v>
      </c>
      <c r="Q7" s="394" t="s">
        <v>54</v>
      </c>
      <c r="R7" s="394" t="s">
        <v>54</v>
      </c>
      <c r="S7" s="394" t="s">
        <v>54</v>
      </c>
      <c r="T7" s="394" t="s">
        <v>54</v>
      </c>
      <c r="U7" s="394" t="s">
        <v>54</v>
      </c>
      <c r="V7" s="394" t="s">
        <v>54</v>
      </c>
      <c r="W7" s="394" t="s">
        <v>54</v>
      </c>
      <c r="X7" s="394" t="s">
        <v>54</v>
      </c>
      <c r="Y7" s="394" t="s">
        <v>54</v>
      </c>
    </row>
    <row r="8" spans="1:25">
      <c r="A8" s="394" t="s">
        <v>54</v>
      </c>
      <c r="B8" s="394" t="s">
        <v>54</v>
      </c>
      <c r="C8" s="394" t="s">
        <v>54</v>
      </c>
      <c r="D8" s="394" t="s">
        <v>54</v>
      </c>
      <c r="E8" s="394" t="s">
        <v>54</v>
      </c>
      <c r="F8" s="394" t="s">
        <v>54</v>
      </c>
      <c r="G8" s="394" t="s">
        <v>363</v>
      </c>
      <c r="H8" s="394" t="s">
        <v>360</v>
      </c>
      <c r="I8" s="394" t="s">
        <v>70</v>
      </c>
      <c r="J8" s="394" t="s">
        <v>71</v>
      </c>
      <c r="K8" s="394" t="str">
        <f>_XLFN.IFERROR(VLOOKUP(J8,Keyword!$C$2:$D$533,2,FALSE),"")</f>
        <v>Wait until JQUERY AJAX request is finished
- Value 1: Maximum of waiting time in seconds. Default is 60(s)</v>
      </c>
      <c r="L8" s="394" t="s">
        <v>54</v>
      </c>
      <c r="M8" s="394" t="s">
        <v>54</v>
      </c>
      <c r="N8" s="394" t="s">
        <v>54</v>
      </c>
      <c r="O8" s="394" t="s">
        <v>54</v>
      </c>
      <c r="P8" s="394" t="s">
        <v>54</v>
      </c>
      <c r="Q8" s="394" t="s">
        <v>54</v>
      </c>
      <c r="R8" s="394" t="s">
        <v>54</v>
      </c>
      <c r="S8" s="394" t="s">
        <v>54</v>
      </c>
      <c r="T8" s="394" t="s">
        <v>54</v>
      </c>
      <c r="U8" s="394" t="s">
        <v>54</v>
      </c>
      <c r="V8" s="394" t="s">
        <v>54</v>
      </c>
      <c r="W8" s="394" t="s">
        <v>54</v>
      </c>
      <c r="X8" s="394" t="s">
        <v>54</v>
      </c>
      <c r="Y8" s="394" t="s">
        <v>54</v>
      </c>
    </row>
    <row r="9" spans="1:25">
      <c r="A9" s="397" t="s">
        <v>49</v>
      </c>
      <c r="B9" s="394"/>
      <c r="C9" s="396" t="s">
        <v>72</v>
      </c>
      <c r="D9" s="394" t="s">
        <v>59</v>
      </c>
      <c r="E9" s="394"/>
      <c r="F9" s="394" t="s">
        <v>73</v>
      </c>
      <c r="G9" s="394"/>
      <c r="H9" s="394"/>
      <c r="I9" s="394"/>
      <c r="J9" s="394"/>
      <c r="K9" s="394" t="str">
        <f>_XLFN.IFERROR(VLOOKUP(J9,Keyword!$C$2:$D$533,2,FALSE),"")</f>
        <v/>
      </c>
      <c r="L9" s="394"/>
      <c r="M9" s="394"/>
      <c r="N9" s="394"/>
      <c r="O9" s="394"/>
      <c r="P9" s="394"/>
      <c r="Q9" s="394"/>
      <c r="R9" s="394"/>
      <c r="S9" s="394"/>
      <c r="T9" s="394"/>
      <c r="U9" s="394"/>
      <c r="V9" s="394"/>
      <c r="W9" s="394"/>
      <c r="X9" s="394"/>
      <c r="Y9" s="394"/>
    </row>
    <row r="10" spans="1:25">
      <c r="A10" s="397"/>
      <c r="B10" s="394"/>
      <c r="C10" s="396"/>
      <c r="D10" s="394"/>
      <c r="E10" s="394"/>
      <c r="F10" s="394"/>
      <c r="G10" s="394" t="s">
        <v>361</v>
      </c>
      <c r="H10" s="394" t="n">
        <v>1</v>
      </c>
      <c r="I10" s="394"/>
      <c r="J10" s="394" t="s">
        <v>74</v>
      </c>
      <c r="K10" s="394" t="str">
        <f>_XLFN.IFERROR(VLOOKUP(J10,Keyword!$C$2:$D$533,2,FALSE),"")</f>
        <v>Select the local file
- Value 1(*): Local file path is defined in [application.properties]</v>
      </c>
      <c r="L10" s="394"/>
      <c r="M10" s="394" t="s">
        <v>75</v>
      </c>
      <c r="N10" s="394" t="s">
        <v>76</v>
      </c>
      <c r="O10" s="394"/>
      <c r="P10" s="394"/>
      <c r="Q10" s="394"/>
      <c r="R10" s="394"/>
      <c r="S10" s="394"/>
      <c r="T10" s="394"/>
      <c r="U10" s="394"/>
      <c r="V10" s="394"/>
      <c r="W10" s="394"/>
      <c r="X10" s="394"/>
      <c r="Y10" s="394"/>
    </row>
    <row r="11" spans="1:25">
      <c r="A11" s="397"/>
      <c r="B11" s="394"/>
      <c r="C11" s="396"/>
      <c r="D11" s="394"/>
      <c r="E11" s="394"/>
      <c r="F11" s="394"/>
      <c r="G11" s="394" t="s">
        <v>361</v>
      </c>
      <c r="H11" s="394"/>
      <c r="I11" s="394"/>
      <c r="J11" s="394" t="s">
        <v>77</v>
      </c>
      <c r="K11" s="394" t="str">
        <f>_XLFN.IFERROR(VLOOKUP(J11,Keyword!$C$2:$D$533,2,FALSE),"")</f>
        <v>Delay the execution of the automated testing for the specified time
- Value 1: Pausing time in seconds. Default is 5(s)</v>
      </c>
      <c r="L11" s="394"/>
      <c r="M11" s="394"/>
      <c r="N11" s="394" t="n">
        <v>10</v>
      </c>
      <c r="O11" s="394"/>
      <c r="P11" s="394"/>
      <c r="Q11" s="394"/>
      <c r="R11" s="394"/>
      <c r="S11" s="394"/>
      <c r="T11" s="394"/>
      <c r="U11" s="394"/>
      <c r="V11" s="394"/>
      <c r="W11" s="394"/>
      <c r="X11" s="394"/>
      <c r="Y11" s="394"/>
    </row>
    <row r="12" spans="1:25">
      <c r="A12" s="397" t="s">
        <v>49</v>
      </c>
      <c r="B12" s="394"/>
      <c r="C12" s="396" t="s">
        <v>78</v>
      </c>
      <c r="D12" s="394" t="s">
        <v>59</v>
      </c>
      <c r="E12" s="394"/>
      <c r="F12" s="394" t="s">
        <v>73</v>
      </c>
      <c r="G12" s="394"/>
      <c r="H12" s="394"/>
      <c r="I12" s="394"/>
      <c r="J12" s="394"/>
      <c r="K12" s="394" t="str">
        <f>_XLFN.IFERROR(VLOOKUP(J12,Keyword!$C$2:$D$533,2,FALSE),"")</f>
        <v/>
      </c>
      <c r="L12" s="394"/>
      <c r="M12" s="394"/>
      <c r="N12" s="394"/>
      <c r="O12" s="394"/>
      <c r="P12" s="394"/>
      <c r="Q12" s="394"/>
      <c r="R12" s="394"/>
      <c r="S12" s="394"/>
      <c r="T12" s="394"/>
      <c r="U12" s="394"/>
      <c r="V12" s="394"/>
      <c r="W12" s="394"/>
      <c r="X12" s="394"/>
      <c r="Y12" s="394"/>
    </row>
    <row r="13" spans="1:25">
      <c r="A13" s="397"/>
      <c r="B13" s="394"/>
      <c r="C13" s="396"/>
      <c r="D13" s="394"/>
      <c r="E13" s="394"/>
      <c r="F13" s="394"/>
      <c r="G13" s="394" t="s">
        <v>361</v>
      </c>
      <c r="H13" s="394" t="n">
        <v>1</v>
      </c>
      <c r="I13" s="394" t="s">
        <v>79</v>
      </c>
      <c r="J13" s="394" t="s">
        <v>80</v>
      </c>
      <c r="K13" s="394" t="str">
        <f>_XLFN.IFERROR(VLOOKUP(J13,Keyword!$C$2:$D$533,2,FALSE),"")</f>
        <v>Verify text of label with the result of executing SQL Statement
- Locator(*): Locator of the label to be verified
- Value 1(*): The SQL Statement to be executed (defined in [sqlStatement.properties]). The result of executing SQL Statement will be compared to the text of label</v>
      </c>
      <c r="L13" s="394"/>
      <c r="M13" s="394" t="s">
        <v>81</v>
      </c>
      <c r="N13" s="394" t="s">
        <v>82</v>
      </c>
      <c r="O13" s="394"/>
      <c r="P13" s="394"/>
      <c r="Q13" s="394"/>
      <c r="R13" s="394"/>
      <c r="S13" s="394"/>
      <c r="T13" s="394"/>
      <c r="U13" s="394"/>
      <c r="V13" s="394"/>
      <c r="W13" s="394"/>
      <c r="X13" s="394"/>
      <c r="Y13" s="394"/>
    </row>
    <row r="14" spans="1:25">
      <c r="A14" s="397" t="s">
        <v>49</v>
      </c>
      <c r="B14" s="394"/>
      <c r="C14" s="396" t="s">
        <v>83</v>
      </c>
      <c r="D14" s="394" t="s">
        <v>84</v>
      </c>
      <c r="E14" s="394"/>
      <c r="F14" s="394" t="s">
        <v>73</v>
      </c>
      <c r="G14" s="394"/>
      <c r="H14" s="394"/>
      <c r="I14" s="394"/>
      <c r="J14" s="394"/>
      <c r="K14" s="394" t="str">
        <f>_XLFN.IFERROR(VLOOKUP(J14,Keyword!$C$2:$D$533,2,FALSE),"")</f>
        <v/>
      </c>
      <c r="L14" s="394"/>
      <c r="M14" s="394"/>
      <c r="N14" s="394"/>
      <c r="O14" s="394"/>
      <c r="P14" s="394"/>
      <c r="Q14" s="394"/>
      <c r="R14" s="394"/>
      <c r="S14" s="394"/>
      <c r="T14" s="394"/>
      <c r="U14" s="394"/>
      <c r="V14" s="394"/>
      <c r="W14" s="394"/>
      <c r="X14" s="394"/>
      <c r="Y14" s="394"/>
    </row>
    <row r="15" spans="1:25">
      <c r="A15" s="397"/>
      <c r="B15" s="394"/>
      <c r="C15" s="396"/>
      <c r="D15" s="394"/>
      <c r="E15" s="394"/>
      <c r="F15" s="394"/>
      <c r="G15" s="394" t="s">
        <v>361</v>
      </c>
      <c r="H15" s="394" t="n">
        <v>1</v>
      </c>
      <c r="I15" s="394" t="s">
        <v>85</v>
      </c>
      <c r="J15" s="394" t="s">
        <v>61</v>
      </c>
      <c r="K15" s="394" t="str">
        <f>_XLFN.IFERROR(VLOOKUP(J15,Keyword!$C$2:$D$533,2,FALSE),"")</f>
        <v>Input value into an input field
- Locator(*): Locator of the element to be inputted
- Value 1: The text to type in</v>
      </c>
      <c r="L15" s="394"/>
      <c r="M15" s="394" t="s">
        <v>86</v>
      </c>
      <c r="N15" s="394" t="s">
        <v>87</v>
      </c>
      <c r="O15" s="394"/>
      <c r="P15" s="394"/>
      <c r="Q15" s="394"/>
      <c r="R15" s="394"/>
      <c r="S15" s="394"/>
      <c r="T15" s="394"/>
      <c r="U15" s="394"/>
      <c r="V15" s="394"/>
      <c r="W15" s="394"/>
      <c r="X15" s="394"/>
      <c r="Y15" s="394"/>
    </row>
    <row r="16" spans="1:25">
      <c r="A16" s="394"/>
      <c r="B16" s="394"/>
      <c r="C16" s="394"/>
      <c r="D16" s="394"/>
      <c r="E16" s="394"/>
      <c r="F16" s="394"/>
      <c r="G16" s="394" t="s">
        <v>361</v>
      </c>
      <c r="H16" s="394" t="n">
        <v>2</v>
      </c>
      <c r="I16" s="394" t="s">
        <v>84</v>
      </c>
      <c r="J16" s="394" t="s">
        <v>88</v>
      </c>
      <c r="K16" s="394" t="str">
        <f>_XLFN.IFERROR(VLOOKUP(J16,Keyword!$C$2:$D$533,2,FALSE),"")</f>
        <v>Verify all values of drop-down with the result of executing SQL Statement
- Locator(*): Locator of the label to be verified
- Value 1(*): The SQL Statement to be executed (defined in [sqlStatement.properties]). The result of executing SQL Statement will be compared to the values of drop-down</v>
      </c>
      <c r="L16" s="394"/>
      <c r="M16" s="394" t="s">
        <v>89</v>
      </c>
      <c r="N16" s="394" t="s">
        <v>82</v>
      </c>
      <c r="O16" s="394"/>
      <c r="P16" s="394"/>
      <c r="Q16" s="394"/>
      <c r="R16" s="394"/>
      <c r="S16" s="394"/>
      <c r="T16" s="394"/>
      <c r="U16" s="394"/>
      <c r="V16" s="394"/>
      <c r="W16" s="394"/>
      <c r="X16" s="394"/>
      <c r="Y16" s="394"/>
    </row>
    <row r="17" spans="1:25">
      <c r="A17" s="397" t="s">
        <v>49</v>
      </c>
      <c r="B17" s="394"/>
      <c r="C17" s="396" t="s">
        <v>83</v>
      </c>
      <c r="D17" s="394" t="s">
        <v>90</v>
      </c>
      <c r="E17" s="394"/>
      <c r="F17" s="394" t="s">
        <v>73</v>
      </c>
      <c r="G17" s="394"/>
      <c r="H17" s="394"/>
      <c r="I17" s="394"/>
      <c r="J17" s="394"/>
      <c r="K17" s="394" t="str">
        <f>_XLFN.IFERROR(VLOOKUP(J17,Keyword!$C$2:$D$533,2,FALSE),"")</f>
        <v/>
      </c>
      <c r="L17" s="394"/>
      <c r="M17" s="394"/>
      <c r="N17" s="394"/>
      <c r="O17" s="394"/>
      <c r="P17" s="394"/>
      <c r="Q17" s="394"/>
      <c r="R17" s="394"/>
      <c r="S17" s="394"/>
      <c r="T17" s="394"/>
      <c r="U17" s="394"/>
      <c r="V17" s="394"/>
      <c r="W17" s="394"/>
      <c r="X17" s="394"/>
      <c r="Y17" s="394"/>
    </row>
    <row r="18" spans="1:25">
      <c r="A18" s="397"/>
      <c r="B18" s="394"/>
      <c r="C18" s="396"/>
      <c r="D18" s="394"/>
      <c r="E18" s="394"/>
      <c r="F18" s="394"/>
      <c r="G18" s="394" t="s">
        <v>361</v>
      </c>
      <c r="H18" s="394" t="n">
        <v>1</v>
      </c>
      <c r="I18" s="394" t="s">
        <v>91</v>
      </c>
      <c r="J18" s="394" t="s">
        <v>68</v>
      </c>
      <c r="K18" s="394" t="str">
        <f>_XLFN.IFERROR(VLOOKUP(J18,Keyword!$C$2:$D$533,2,FALSE),"")</f>
        <v>Click on the given element
- Locator(*): Locator of the element to be clicked</v>
      </c>
      <c r="L18" s="394"/>
      <c r="M18" s="394" t="s">
        <v>92</v>
      </c>
      <c r="N18" s="394"/>
      <c r="O18" s="394"/>
      <c r="P18" s="394"/>
      <c r="Q18" s="394"/>
      <c r="R18" s="394"/>
      <c r="S18" s="394"/>
      <c r="T18" s="394"/>
      <c r="U18" s="394"/>
      <c r="V18" s="394"/>
      <c r="W18" s="394"/>
      <c r="X18" s="394"/>
      <c r="Y18" s="394"/>
    </row>
    <row r="19" spans="1:25">
      <c r="A19" s="397"/>
      <c r="B19" s="394"/>
      <c r="C19" s="396"/>
      <c r="D19" s="394"/>
      <c r="E19" s="394"/>
      <c r="F19" s="394"/>
      <c r="G19" s="394" t="s">
        <v>361</v>
      </c>
      <c r="H19" s="394" t="n">
        <v>2</v>
      </c>
      <c r="I19" s="394" t="s">
        <v>90</v>
      </c>
      <c r="J19" s="394" t="s">
        <v>93</v>
      </c>
      <c r="K19" s="394" t="str">
        <f>_XLFN.IFERROR(VLOOKUP(J19,Keyword!$C$2:$D$533,2,FALSE),"")</f>
        <v>Verify all values of drop-down with specified value list
- Locator(*): Locator of all options of drop-down to be verified
- Value 1(*): The name of table contains specified option value list in 'Extension' Sheet. All specified option values will be compared to the values of drop-down</v>
      </c>
      <c r="L19" s="394"/>
      <c r="M19" s="394" t="s">
        <v>94</v>
      </c>
      <c r="N19" s="394" t="s">
        <v>50</v>
      </c>
      <c r="O19" s="394"/>
      <c r="P19" s="394"/>
      <c r="Q19" s="394"/>
      <c r="R19" s="394"/>
      <c r="S19" s="394"/>
      <c r="T19" s="394"/>
      <c r="U19" s="394"/>
      <c r="V19" s="394"/>
      <c r="W19" s="394"/>
      <c r="X19" s="394"/>
      <c r="Y19" s="394"/>
    </row>
    <row r="20" spans="1:25">
      <c r="A20" s="397" t="s">
        <v>49</v>
      </c>
      <c r="B20" s="394"/>
      <c r="C20" s="396" t="s">
        <v>83</v>
      </c>
      <c r="D20" s="394" t="s">
        <v>95</v>
      </c>
      <c r="E20" s="394"/>
      <c r="F20" s="394" t="s">
        <v>73</v>
      </c>
      <c r="G20" s="394"/>
      <c r="H20" s="394"/>
      <c r="I20" s="394"/>
      <c r="J20" s="394"/>
      <c r="K20" s="394" t="str">
        <f>_XLFN.IFERROR(VLOOKUP(J20,Keyword!$C$2:$D$533,2,FALSE),"")</f>
        <v/>
      </c>
      <c r="L20" s="394"/>
      <c r="M20" s="394"/>
      <c r="N20" s="394"/>
      <c r="O20" s="394"/>
      <c r="P20" s="394"/>
      <c r="Q20" s="394"/>
      <c r="R20" s="394"/>
      <c r="S20" s="394"/>
      <c r="T20" s="394"/>
      <c r="U20" s="394"/>
      <c r="V20" s="394"/>
      <c r="W20" s="394"/>
      <c r="X20" s="394"/>
      <c r="Y20" s="394"/>
    </row>
    <row r="21" spans="1:25">
      <c r="A21" s="397"/>
      <c r="B21" s="394"/>
      <c r="C21" s="396"/>
      <c r="D21" s="394"/>
      <c r="E21" s="394"/>
      <c r="F21" s="394"/>
      <c r="G21" s="394" t="s">
        <v>361</v>
      </c>
      <c r="H21" s="394"/>
      <c r="I21" s="394" t="s">
        <v>96</v>
      </c>
      <c r="J21" s="394" t="s">
        <v>97</v>
      </c>
      <c r="K21" s="394" t="str">
        <f>_XLFN.IFERROR(VLOOKUP(J21,Keyword!$C$2:$D$533,2,FALSE),"")</f>
        <v>Select the option of drop-down with the specified value
NOTE: Drop-down option must be present (Click on drop-down to show options then using this Keyword)
- Locator(*): Locator of all options of drop-down to be selected
- Value 1(*): Value of the option to be selected</v>
      </c>
      <c r="L21" s="394"/>
      <c r="M21" s="394" t="s">
        <v>94</v>
      </c>
      <c r="N21" s="394" t="s">
        <v>98</v>
      </c>
      <c r="O21" s="394"/>
      <c r="P21" s="394"/>
      <c r="Q21" s="394"/>
      <c r="R21" s="394"/>
      <c r="S21" s="394"/>
      <c r="T21" s="394"/>
      <c r="U21" s="394"/>
      <c r="V21" s="394"/>
      <c r="W21" s="394"/>
      <c r="X21" s="394"/>
      <c r="Y21" s="394"/>
    </row>
    <row r="22" spans="1:25">
      <c r="A22" s="397"/>
      <c r="B22" s="394"/>
      <c r="C22" s="396"/>
      <c r="D22" s="394"/>
      <c r="E22" s="394"/>
      <c r="F22" s="394"/>
      <c r="G22" s="394" t="s">
        <v>361</v>
      </c>
      <c r="H22" s="394"/>
      <c r="I22" s="394" t="s">
        <v>99</v>
      </c>
      <c r="J22" s="394" t="s">
        <v>61</v>
      </c>
      <c r="K22" s="394" t="str">
        <f>_XLFN.IFERROR(VLOOKUP(J22,Keyword!$C$2:$D$533,2,FALSE),"")</f>
        <v>Input value into an input field
- Locator(*): Locator of the element to be inputted
- Value 1: The text to type in</v>
      </c>
      <c r="L22" s="394"/>
      <c r="M22" s="394" t="s">
        <v>100</v>
      </c>
      <c r="N22" s="394" t="s">
        <v>101</v>
      </c>
      <c r="O22" s="394"/>
      <c r="P22" s="394"/>
      <c r="Q22" s="394"/>
      <c r="R22" s="394"/>
      <c r="S22" s="394"/>
      <c r="T22" s="394"/>
      <c r="U22" s="394"/>
      <c r="V22" s="394"/>
      <c r="W22" s="394"/>
      <c r="X22" s="394"/>
      <c r="Y22" s="394"/>
    </row>
    <row r="23" spans="1:25">
      <c r="A23" s="397"/>
      <c r="B23" s="394"/>
      <c r="C23" s="396"/>
      <c r="D23" s="394"/>
      <c r="E23" s="394"/>
      <c r="F23" s="394"/>
      <c r="G23" s="394" t="s">
        <v>361</v>
      </c>
      <c r="H23" s="394" t="n">
        <v>2</v>
      </c>
      <c r="I23" s="394" t="s">
        <v>95</v>
      </c>
      <c r="J23" s="394" t="s">
        <v>88</v>
      </c>
      <c r="K23" s="394" t="str">
        <f>_XLFN.IFERROR(VLOOKUP(J23,Keyword!$C$2:$D$533,2,FALSE),"")</f>
        <v>Verify all values of drop-down with the result of executing SQL Statement
- Locator(*): Locator of the label to be verified
- Value 1(*): The SQL Statement to be executed (defined in [sqlStatement.properties]). The result of executing SQL Statement will be compared to the values of drop-down</v>
      </c>
      <c r="L23" s="394"/>
      <c r="M23" s="394" t="s">
        <v>102</v>
      </c>
      <c r="N23" s="394" t="s">
        <v>82</v>
      </c>
      <c r="O23" s="394"/>
      <c r="P23" s="394"/>
      <c r="Q23" s="394"/>
      <c r="R23" s="394"/>
      <c r="S23" s="394"/>
      <c r="T23" s="394"/>
      <c r="U23" s="394"/>
      <c r="V23" s="394"/>
      <c r="W23" s="394"/>
      <c r="X23" s="394"/>
      <c r="Y23" s="394"/>
    </row>
    <row r="24" spans="1:25">
      <c r="A24" s="397" t="s">
        <v>49</v>
      </c>
      <c r="B24" s="394"/>
      <c r="C24" s="396" t="s">
        <v>83</v>
      </c>
      <c r="D24" s="394" t="s">
        <v>103</v>
      </c>
      <c r="E24" s="394"/>
      <c r="F24" s="394" t="s">
        <v>73</v>
      </c>
      <c r="G24" s="394"/>
      <c r="H24" s="394"/>
      <c r="I24" s="394"/>
      <c r="J24" s="394"/>
      <c r="K24" s="394" t="str">
        <f>_XLFN.IFERROR(VLOOKUP(J24,Keyword!$C$2:$D$533,2,FALSE),"")</f>
        <v/>
      </c>
      <c r="L24" s="394"/>
      <c r="M24" s="394"/>
      <c r="N24" s="394"/>
      <c r="O24" s="394"/>
      <c r="P24" s="394"/>
      <c r="Q24" s="394"/>
      <c r="R24" s="394"/>
      <c r="S24" s="394"/>
      <c r="T24" s="394"/>
      <c r="U24" s="394"/>
      <c r="V24" s="394"/>
      <c r="W24" s="394"/>
      <c r="X24" s="394"/>
      <c r="Y24" s="394"/>
    </row>
    <row r="25" spans="1:25">
      <c r="A25" s="397"/>
      <c r="B25" s="394"/>
      <c r="C25" s="396"/>
      <c r="D25" s="394"/>
      <c r="E25" s="394"/>
      <c r="F25" s="394"/>
      <c r="G25" s="394" t="s">
        <v>361</v>
      </c>
      <c r="H25" s="394"/>
      <c r="I25" s="394" t="s">
        <v>104</v>
      </c>
      <c r="J25" s="394" t="s">
        <v>61</v>
      </c>
      <c r="K25" s="394" t="str">
        <f>_XLFN.IFERROR(VLOOKUP(J25,Keyword!$C$2:$D$533,2,FALSE),"")</f>
        <v>Input value into an input field
- Locator(*): Locator of the element to be inputted
- Value 1: The text to type in</v>
      </c>
      <c r="L25" s="394"/>
      <c r="M25" s="394" t="s">
        <v>105</v>
      </c>
      <c r="N25" s="394" t="s">
        <v>106</v>
      </c>
      <c r="O25" s="394"/>
      <c r="P25" s="394"/>
      <c r="Q25" s="394"/>
      <c r="R25" s="394"/>
      <c r="S25" s="394"/>
      <c r="T25" s="394"/>
      <c r="U25" s="394"/>
      <c r="V25" s="394"/>
      <c r="W25" s="394"/>
      <c r="X25" s="394"/>
      <c r="Y25" s="394"/>
    </row>
    <row r="26" spans="1:25">
      <c r="A26" s="397"/>
      <c r="B26" s="394"/>
      <c r="C26" s="396"/>
      <c r="D26" s="394"/>
      <c r="E26" s="394"/>
      <c r="F26" s="394"/>
      <c r="G26" s="394" t="s">
        <v>361</v>
      </c>
      <c r="H26" s="394"/>
      <c r="I26" s="394" t="s">
        <v>107</v>
      </c>
      <c r="J26" s="394" t="s">
        <v>108</v>
      </c>
      <c r="K26" s="394" t="str">
        <f>_XLFN.IFERROR(VLOOKUP(J26,Keyword!$C$2:$D$533,2,FALSE),"")</f>
        <v>Press Tab key</v>
      </c>
      <c r="L26" s="394"/>
      <c r="M26" s="394"/>
      <c r="N26" s="394"/>
      <c r="O26" s="394"/>
      <c r="P26" s="394"/>
      <c r="Q26" s="394"/>
      <c r="R26" s="394"/>
      <c r="S26" s="394"/>
      <c r="T26" s="394"/>
      <c r="U26" s="394"/>
      <c r="V26" s="394"/>
      <c r="W26" s="394"/>
      <c r="X26" s="394"/>
      <c r="Y26" s="394"/>
    </row>
    <row r="27" spans="1:25">
      <c r="A27" s="397"/>
      <c r="B27" s="394"/>
      <c r="C27" s="396"/>
      <c r="D27" s="394"/>
      <c r="E27" s="394"/>
      <c r="F27" s="394"/>
      <c r="G27" s="394" t="s">
        <v>361</v>
      </c>
      <c r="H27" s="394"/>
      <c r="I27" s="394" t="s">
        <v>109</v>
      </c>
      <c r="J27" s="394" t="s">
        <v>71</v>
      </c>
      <c r="K27" s="394" t="str">
        <f>_XLFN.IFERROR(VLOOKUP(J27,Keyword!$C$2:$D$533,2,FALSE),"")</f>
        <v>Wait until JQUERY AJAX request is finished
- Value 1: Maximum of waiting time in seconds. Default is 60(s)</v>
      </c>
      <c r="L27" s="394"/>
      <c r="M27" s="394"/>
      <c r="N27" s="394"/>
      <c r="O27" s="394"/>
      <c r="P27" s="394"/>
      <c r="Q27" s="394"/>
      <c r="R27" s="394"/>
      <c r="S27" s="394"/>
      <c r="T27" s="394"/>
      <c r="U27" s="394"/>
      <c r="V27" s="394"/>
      <c r="W27" s="394"/>
      <c r="X27" s="394"/>
      <c r="Y27" s="394"/>
    </row>
    <row customHeight="1" ht="44.85" r="28" spans="1:25">
      <c r="A28" s="397"/>
      <c r="B28" s="394"/>
      <c r="C28" s="396"/>
      <c r="D28" s="394"/>
      <c r="E28" s="394"/>
      <c r="F28" s="394"/>
      <c r="G28" s="394" t="s">
        <v>361</v>
      </c>
      <c r="H28" s="394"/>
      <c r="I28" s="394" t="s">
        <v>103</v>
      </c>
      <c r="J28" s="394" t="s">
        <v>110</v>
      </c>
      <c r="K28" s="394" t="str">
        <f>_XLFN.IFERROR(VLOOKUP(J28,Keyword!$C$2:$D$533,2,FALSE),"")</f>
        <v>Verify text of label with specified value
- Locator(*): Locator of the label to be verified
- Value 1(*): The value will be compared to the text of label</v>
      </c>
      <c r="L28" s="394"/>
      <c r="M28" s="394" t="s">
        <v>111</v>
      </c>
      <c r="N28" s="394" t="s">
        <v>112</v>
      </c>
      <c r="O28" s="394"/>
      <c r="P28" s="394"/>
      <c r="Q28" s="394"/>
      <c r="R28" s="394"/>
      <c r="S28" s="394"/>
      <c r="T28" s="394"/>
      <c r="U28" s="394"/>
      <c r="V28" s="394"/>
      <c r="W28" s="394"/>
      <c r="X28" s="394"/>
      <c r="Y28" s="394"/>
    </row>
    <row r="29" spans="1:25">
      <c r="A29" s="397" t="s">
        <v>49</v>
      </c>
      <c r="B29" s="394"/>
      <c r="C29" s="396" t="s">
        <v>83</v>
      </c>
      <c r="D29" s="394" t="s">
        <v>113</v>
      </c>
      <c r="E29" s="394"/>
      <c r="F29" s="394" t="s">
        <v>73</v>
      </c>
      <c r="G29" s="394"/>
      <c r="H29" s="394"/>
      <c r="I29" s="394"/>
      <c r="J29" s="394"/>
      <c r="K29" s="394" t="str">
        <f>_XLFN.IFERROR(VLOOKUP(J29,Keyword!$C$2:$D$533,2,FALSE),"")</f>
        <v/>
      </c>
      <c r="L29" s="394"/>
      <c r="M29" s="394"/>
      <c r="N29" s="394"/>
      <c r="O29" s="394"/>
      <c r="P29" s="394"/>
      <c r="Q29" s="394"/>
      <c r="R29" s="394"/>
      <c r="S29" s="394"/>
      <c r="T29" s="394"/>
      <c r="U29" s="394"/>
      <c r="V29" s="394"/>
      <c r="W29" s="394"/>
      <c r="X29" s="394"/>
      <c r="Y29" s="394"/>
    </row>
    <row r="30" spans="1:25">
      <c r="A30" s="397"/>
      <c r="B30" s="394"/>
      <c r="C30" s="396"/>
      <c r="D30" s="394"/>
      <c r="E30" s="394"/>
      <c r="F30" s="394"/>
      <c r="G30" s="394" t="s">
        <v>361</v>
      </c>
      <c r="H30" s="394"/>
      <c r="I30" s="394" t="s">
        <v>114</v>
      </c>
      <c r="J30" s="394" t="s">
        <v>61</v>
      </c>
      <c r="K30" s="394" t="str">
        <f>_XLFN.IFERROR(VLOOKUP(J30,Keyword!$C$2:$D$533,2,FALSE),"")</f>
        <v>Input value into an input field
- Locator(*): Locator of the element to be inputted
- Value 1: The text to type in</v>
      </c>
      <c r="L30" s="394"/>
      <c r="M30" s="394" t="s">
        <v>105</v>
      </c>
      <c r="N30" s="394" t="s">
        <v>115</v>
      </c>
      <c r="O30" s="394"/>
      <c r="P30" s="394"/>
      <c r="Q30" s="394"/>
      <c r="R30" s="394"/>
      <c r="S30" s="394"/>
      <c r="T30" s="394"/>
      <c r="U30" s="394"/>
      <c r="V30" s="394"/>
      <c r="W30" s="394"/>
      <c r="X30" s="394"/>
      <c r="Y30" s="394"/>
    </row>
    <row r="31" spans="1:25">
      <c r="A31" s="397"/>
      <c r="B31" s="394"/>
      <c r="C31" s="396"/>
      <c r="D31" s="394"/>
      <c r="E31" s="394"/>
      <c r="F31" s="394"/>
      <c r="G31" s="394" t="s">
        <v>361</v>
      </c>
      <c r="H31" s="394"/>
      <c r="I31" s="394" t="s">
        <v>107</v>
      </c>
      <c r="J31" s="394" t="s">
        <v>108</v>
      </c>
      <c r="K31" s="394" t="str">
        <f>_XLFN.IFERROR(VLOOKUP(J31,Keyword!$C$2:$D$533,2,FALSE),"")</f>
        <v>Press Tab key</v>
      </c>
      <c r="L31" s="394"/>
      <c r="M31" s="394"/>
      <c r="N31" s="394"/>
      <c r="O31" s="394"/>
      <c r="P31" s="394"/>
      <c r="Q31" s="394"/>
      <c r="R31" s="394"/>
      <c r="S31" s="394"/>
      <c r="T31" s="394"/>
      <c r="U31" s="394"/>
      <c r="V31" s="394"/>
      <c r="W31" s="394"/>
      <c r="X31" s="394"/>
      <c r="Y31" s="394"/>
    </row>
    <row r="32" spans="1:25">
      <c r="A32" s="397"/>
      <c r="B32" s="394"/>
      <c r="C32" s="396"/>
      <c r="D32" s="394"/>
      <c r="E32" s="394"/>
      <c r="F32" s="394"/>
      <c r="G32" s="394" t="s">
        <v>361</v>
      </c>
      <c r="H32" s="394"/>
      <c r="I32" s="394" t="s">
        <v>109</v>
      </c>
      <c r="J32" s="394" t="s">
        <v>71</v>
      </c>
      <c r="K32" s="394" t="str">
        <f>_XLFN.IFERROR(VLOOKUP(J32,Keyword!$C$2:$D$533,2,FALSE),"")</f>
        <v>Wait until JQUERY AJAX request is finished
- Value 1: Maximum of waiting time in seconds. Default is 60(s)</v>
      </c>
      <c r="L32" s="394"/>
      <c r="M32" s="394"/>
      <c r="N32" s="394"/>
      <c r="O32" s="394"/>
      <c r="P32" s="394"/>
      <c r="Q32" s="394"/>
      <c r="R32" s="394"/>
      <c r="S32" s="394"/>
      <c r="T32" s="394"/>
      <c r="U32" s="394"/>
      <c r="V32" s="394"/>
      <c r="W32" s="394"/>
      <c r="X32" s="394"/>
      <c r="Y32" s="394"/>
    </row>
    <row r="33" spans="1:25">
      <c r="A33" s="397"/>
      <c r="B33" s="394"/>
      <c r="C33" s="396"/>
      <c r="D33" s="394"/>
      <c r="E33" s="394"/>
      <c r="F33" s="394"/>
      <c r="G33" s="394" t="s">
        <v>361</v>
      </c>
      <c r="H33" s="394"/>
      <c r="I33" s="394" t="s">
        <v>116</v>
      </c>
      <c r="J33" s="394" t="s">
        <v>110</v>
      </c>
      <c r="K33" s="394" t="str">
        <f>_XLFN.IFERROR(VLOOKUP(J33,Keyword!$C$2:$D$533,2,FALSE),"")</f>
        <v>Verify text of label with specified value
- Locator(*): Locator of the label to be verified
- Value 1(*): The value will be compared to the text of label</v>
      </c>
      <c r="L33" s="394"/>
      <c r="M33" s="394" t="s">
        <v>117</v>
      </c>
      <c r="N33" s="394" t="s">
        <v>118</v>
      </c>
      <c r="O33" s="394"/>
      <c r="P33" s="394"/>
      <c r="Q33" s="394"/>
      <c r="R33" s="394"/>
      <c r="S33" s="394"/>
      <c r="T33" s="394"/>
      <c r="U33" s="394"/>
      <c r="V33" s="394"/>
      <c r="W33" s="394"/>
      <c r="X33" s="394"/>
      <c r="Y33" s="394"/>
    </row>
    <row r="34" spans="1:25">
      <c r="A34" s="397" t="s">
        <v>49</v>
      </c>
      <c r="B34" s="394"/>
      <c r="C34" s="396" t="s">
        <v>83</v>
      </c>
      <c r="D34" s="394" t="s">
        <v>119</v>
      </c>
      <c r="E34" s="394"/>
      <c r="F34" s="394" t="s">
        <v>73</v>
      </c>
      <c r="G34" s="394"/>
      <c r="H34" s="394"/>
      <c r="I34" s="394"/>
      <c r="J34" s="394"/>
      <c r="K34" s="394" t="str">
        <f>_XLFN.IFERROR(VLOOKUP(J34,Keyword!$C$2:$D$533,2,FALSE),"")</f>
        <v/>
      </c>
      <c r="L34" s="394"/>
      <c r="M34" s="394"/>
      <c r="N34" s="394"/>
      <c r="O34" s="394"/>
      <c r="P34" s="394"/>
      <c r="Q34" s="394"/>
      <c r="R34" s="394"/>
      <c r="S34" s="394"/>
      <c r="T34" s="394"/>
      <c r="U34" s="394"/>
      <c r="V34" s="394"/>
      <c r="W34" s="394"/>
      <c r="X34" s="394"/>
      <c r="Y34" s="394"/>
    </row>
    <row r="35" spans="1:25">
      <c r="A35" s="397"/>
      <c r="B35" s="394"/>
      <c r="C35" s="396"/>
      <c r="D35" s="394"/>
      <c r="E35" s="394"/>
      <c r="F35" s="394"/>
      <c r="G35" s="394" t="s">
        <v>361</v>
      </c>
      <c r="H35" s="394"/>
      <c r="I35" s="394" t="s">
        <v>120</v>
      </c>
      <c r="J35" s="394" t="s">
        <v>68</v>
      </c>
      <c r="K35" s="394" t="str">
        <f>_XLFN.IFERROR(VLOOKUP(J35,Keyword!$C$2:$D$533,2,FALSE),"")</f>
        <v>Click on the given element
- Locator(*): Locator of the element to be clicked</v>
      </c>
      <c r="L35" s="394"/>
      <c r="M35" s="394" t="s">
        <v>121</v>
      </c>
      <c r="N35" s="394"/>
      <c r="O35" s="394"/>
      <c r="P35" s="394"/>
      <c r="Q35" s="394"/>
      <c r="R35" s="394"/>
      <c r="S35" s="394"/>
      <c r="T35" s="394"/>
      <c r="U35" s="394"/>
      <c r="V35" s="394"/>
      <c r="W35" s="394"/>
      <c r="X35" s="394"/>
      <c r="Y35" s="394"/>
    </row>
    <row r="36" spans="1:25">
      <c r="A36" s="397"/>
      <c r="B36" s="394"/>
      <c r="C36" s="396"/>
      <c r="D36" s="394"/>
      <c r="E36" s="394"/>
      <c r="F36" s="394"/>
      <c r="G36" s="394" t="s">
        <v>361</v>
      </c>
      <c r="H36" s="394"/>
      <c r="I36" s="394" t="s">
        <v>109</v>
      </c>
      <c r="J36" s="394" t="s">
        <v>71</v>
      </c>
      <c r="K36" s="394" t="str">
        <f>_XLFN.IFERROR(VLOOKUP(J36,Keyword!$C$2:$D$533,2,FALSE),"")</f>
        <v>Wait until JQUERY AJAX request is finished
- Value 1: Maximum of waiting time in seconds. Default is 60(s)</v>
      </c>
      <c r="L36" s="394"/>
      <c r="M36" s="394"/>
      <c r="N36" s="394"/>
      <c r="O36" s="394"/>
      <c r="P36" s="394"/>
      <c r="Q36" s="394"/>
      <c r="R36" s="394"/>
      <c r="S36" s="394"/>
      <c r="T36" s="394"/>
      <c r="U36" s="394"/>
      <c r="V36" s="394"/>
      <c r="W36" s="394"/>
      <c r="X36" s="394"/>
      <c r="Y36" s="394"/>
    </row>
    <row r="37" spans="1:25">
      <c r="A37" s="397"/>
      <c r="B37" s="394"/>
      <c r="C37" s="396"/>
      <c r="D37" s="394"/>
      <c r="E37" s="394"/>
      <c r="F37" s="394"/>
      <c r="G37" s="394" t="s">
        <v>361</v>
      </c>
      <c r="H37" s="394"/>
      <c r="I37" s="394" t="s">
        <v>119</v>
      </c>
      <c r="J37" s="394" t="s">
        <v>110</v>
      </c>
      <c r="K37" s="394" t="str">
        <f>_XLFN.IFERROR(VLOOKUP(J37,Keyword!$C$2:$D$533,2,FALSE),"")</f>
        <v>Verify text of label with specified value
- Locator(*): Locator of the label to be verified
- Value 1(*): The value will be compared to the text of label</v>
      </c>
      <c r="L37" s="394"/>
      <c r="M37" s="394" t="s">
        <v>111</v>
      </c>
      <c r="N37" s="394" t="s">
        <v>122</v>
      </c>
      <c r="O37" s="394"/>
      <c r="P37" s="394"/>
      <c r="Q37" s="394"/>
      <c r="R37" s="394"/>
      <c r="S37" s="394"/>
      <c r="T37" s="394"/>
      <c r="U37" s="394"/>
      <c r="V37" s="394"/>
      <c r="W37" s="394"/>
      <c r="X37" s="394"/>
      <c r="Y37" s="394"/>
    </row>
    <row r="38" spans="1:25">
      <c r="A38" s="397" t="s">
        <v>49</v>
      </c>
      <c r="B38" s="394"/>
      <c r="C38" s="396" t="s">
        <v>83</v>
      </c>
      <c r="D38" s="394" t="s">
        <v>123</v>
      </c>
      <c r="E38" s="394"/>
      <c r="F38" s="394" t="s">
        <v>73</v>
      </c>
      <c r="G38" s="394"/>
      <c r="H38" s="394"/>
      <c r="I38" s="394"/>
      <c r="J38" s="394"/>
      <c r="K38" s="394" t="str">
        <f>_XLFN.IFERROR(VLOOKUP(J38,Keyword!$C$2:$D$533,2,FALSE),"")</f>
        <v/>
      </c>
      <c r="L38" s="394"/>
      <c r="M38" s="394"/>
      <c r="N38" s="394"/>
      <c r="O38" s="394"/>
      <c r="P38" s="394"/>
      <c r="Q38" s="394"/>
      <c r="R38" s="394"/>
      <c r="S38" s="394"/>
      <c r="T38" s="394"/>
      <c r="U38" s="394"/>
      <c r="V38" s="394"/>
      <c r="W38" s="394"/>
      <c r="X38" s="394"/>
      <c r="Y38" s="394"/>
    </row>
    <row r="39" spans="1:25">
      <c r="A39" s="397"/>
      <c r="B39" s="394"/>
      <c r="C39" s="396"/>
      <c r="D39" s="394"/>
      <c r="E39" s="394"/>
      <c r="F39" s="394"/>
      <c r="G39" s="394" t="s">
        <v>361</v>
      </c>
      <c r="H39" s="394"/>
      <c r="I39" s="394" t="s">
        <v>124</v>
      </c>
      <c r="J39" s="394" t="s">
        <v>61</v>
      </c>
      <c r="K39" s="394" t="str">
        <f>_XLFN.IFERROR(VLOOKUP(J39,Keyword!$C$2:$D$533,2,FALSE),"")</f>
        <v>Input value into an input field
- Locator(*): Locator of the element to be inputted
- Value 1: The text to type in</v>
      </c>
      <c r="L39" s="394"/>
      <c r="M39" s="394" t="s">
        <v>125</v>
      </c>
      <c r="N39" s="394" t="s">
        <v>126</v>
      </c>
      <c r="O39" s="394"/>
      <c r="P39" s="394"/>
      <c r="Q39" s="394"/>
      <c r="R39" s="394"/>
      <c r="S39" s="394"/>
      <c r="T39" s="394"/>
      <c r="U39" s="394"/>
      <c r="V39" s="394"/>
      <c r="W39" s="394"/>
      <c r="X39" s="394"/>
      <c r="Y39" s="394"/>
    </row>
    <row r="40" spans="1:25">
      <c r="A40" s="397"/>
      <c r="B40" s="394"/>
      <c r="C40" s="396"/>
      <c r="D40" s="394"/>
      <c r="E40" s="394"/>
      <c r="F40" s="394"/>
      <c r="G40" s="394" t="s">
        <v>361</v>
      </c>
      <c r="H40" s="394"/>
      <c r="I40" s="394" t="s">
        <v>127</v>
      </c>
      <c r="J40" s="394" t="s">
        <v>68</v>
      </c>
      <c r="K40" s="394" t="str">
        <f>_XLFN.IFERROR(VLOOKUP(J40,Keyword!$C$2:$D$533,2,FALSE),"")</f>
        <v>Click on the given element
- Locator(*): Locator of the element to be clicked</v>
      </c>
      <c r="L40" s="394"/>
      <c r="M40" s="394" t="s">
        <v>128</v>
      </c>
      <c r="N40" s="394"/>
      <c r="O40" s="394"/>
      <c r="P40" s="394"/>
      <c r="Q40" s="394"/>
      <c r="R40" s="394"/>
      <c r="S40" s="394"/>
      <c r="T40" s="394"/>
      <c r="U40" s="394"/>
      <c r="V40" s="394"/>
      <c r="W40" s="394"/>
      <c r="X40" s="394"/>
      <c r="Y40" s="394"/>
    </row>
    <row r="41" spans="1:25">
      <c r="A41" s="397"/>
      <c r="B41" s="394"/>
      <c r="C41" s="396"/>
      <c r="D41" s="394"/>
      <c r="E41" s="394"/>
      <c r="F41" s="394"/>
      <c r="G41" s="394" t="s">
        <v>361</v>
      </c>
      <c r="H41" s="394"/>
      <c r="I41" s="394" t="s">
        <v>129</v>
      </c>
      <c r="J41" s="394" t="s">
        <v>68</v>
      </c>
      <c r="K41" s="394"/>
      <c r="L41" s="394"/>
      <c r="M41" s="394" t="s">
        <v>130</v>
      </c>
      <c r="N41" s="394"/>
      <c r="O41" s="394"/>
      <c r="P41" s="394"/>
      <c r="Q41" s="394"/>
      <c r="R41" s="394"/>
      <c r="S41" s="394"/>
      <c r="T41" s="394"/>
      <c r="U41" s="394"/>
      <c r="V41" s="394"/>
      <c r="W41" s="394"/>
      <c r="X41" s="394"/>
      <c r="Y41" s="394"/>
    </row>
    <row r="42" spans="1:25">
      <c r="A42" s="397"/>
      <c r="B42" s="394"/>
      <c r="C42" s="396"/>
      <c r="D42" s="394"/>
      <c r="E42" s="394"/>
      <c r="F42" s="394"/>
      <c r="G42" s="394" t="s">
        <v>361</v>
      </c>
      <c r="H42" s="394"/>
      <c r="I42" s="394" t="s">
        <v>123</v>
      </c>
      <c r="J42" s="394" t="s">
        <v>110</v>
      </c>
      <c r="K42" s="394" t="str">
        <f>_XLFN.IFERROR(VLOOKUP(J42,Keyword!$C$2:$D$533,2,FALSE),"")</f>
        <v>Verify text of label with specified value
- Locator(*): Locator of the label to be verified
- Value 1(*): The value will be compared to the text of label</v>
      </c>
      <c r="L42" s="394"/>
      <c r="M42" s="394" t="s">
        <v>125</v>
      </c>
      <c r="N42" s="394"/>
      <c r="O42" s="394"/>
      <c r="P42" s="394"/>
      <c r="Q42" s="394"/>
      <c r="R42" s="394"/>
      <c r="S42" s="394"/>
      <c r="T42" s="394"/>
      <c r="U42" s="394"/>
      <c r="V42" s="394"/>
      <c r="W42" s="394"/>
      <c r="X42" s="394"/>
      <c r="Y42" s="394"/>
    </row>
    <row r="43" spans="1:25">
      <c r="A43" s="397" t="s">
        <v>49</v>
      </c>
      <c r="B43" s="394"/>
      <c r="C43" s="396" t="s">
        <v>83</v>
      </c>
      <c r="D43" s="394" t="s">
        <v>131</v>
      </c>
      <c r="E43" s="394"/>
      <c r="F43" s="394" t="s">
        <v>53</v>
      </c>
      <c r="G43" s="431" t="s">
        <v>364</v>
      </c>
      <c r="H43" s="394"/>
      <c r="I43" s="394"/>
      <c r="J43" s="394"/>
      <c r="K43" s="394" t="str">
        <f>_XLFN.IFERROR(VLOOKUP(J43,Keyword!$C$2:$D$533,2,FALSE),"")</f>
        <v/>
      </c>
      <c r="L43" s="394"/>
      <c r="M43" s="394"/>
      <c r="N43" s="394"/>
      <c r="O43" s="394"/>
      <c r="P43" s="394"/>
      <c r="Q43" s="394"/>
      <c r="R43" s="394"/>
      <c r="S43" s="394"/>
      <c r="T43" s="394"/>
      <c r="U43" s="394"/>
      <c r="V43" s="394"/>
      <c r="W43" s="394"/>
      <c r="X43" s="394"/>
      <c r="Y43" s="394"/>
    </row>
    <row r="44" spans="1:25">
      <c r="A44" s="397" t="s">
        <v>54</v>
      </c>
      <c r="B44" s="394" t="s">
        <v>54</v>
      </c>
      <c r="C44" s="396" t="s">
        <v>54</v>
      </c>
      <c r="D44" s="394" t="s">
        <v>54</v>
      </c>
      <c r="E44" s="394" t="s">
        <v>54</v>
      </c>
      <c r="F44" s="394" t="s">
        <v>54</v>
      </c>
      <c r="G44" s="394" t="s">
        <v>363</v>
      </c>
      <c r="H44" s="394" t="s">
        <v>54</v>
      </c>
      <c r="I44" s="394" t="s">
        <v>132</v>
      </c>
      <c r="J44" s="394" t="s">
        <v>133</v>
      </c>
      <c r="K44" s="394"/>
      <c r="L44" s="394" t="s">
        <v>54</v>
      </c>
      <c r="M44" s="394" t="s">
        <v>75</v>
      </c>
      <c r="N44" s="394" t="s">
        <v>58</v>
      </c>
      <c r="O44" s="394" t="s">
        <v>54</v>
      </c>
      <c r="P44" s="394" t="s">
        <v>54</v>
      </c>
      <c r="Q44" s="394" t="s">
        <v>54</v>
      </c>
      <c r="R44" s="394" t="s">
        <v>54</v>
      </c>
      <c r="S44" s="394" t="s">
        <v>54</v>
      </c>
      <c r="T44" s="394" t="s">
        <v>54</v>
      </c>
      <c r="U44" s="394" t="s">
        <v>54</v>
      </c>
      <c r="V44" s="394" t="s">
        <v>54</v>
      </c>
      <c r="W44" s="394" t="s">
        <v>54</v>
      </c>
      <c r="X44" s="394" t="s">
        <v>54</v>
      </c>
      <c r="Y44" s="394" t="s">
        <v>54</v>
      </c>
    </row>
    <row r="45" spans="1:25">
      <c r="A45" s="397" t="s">
        <v>54</v>
      </c>
      <c r="B45" s="394" t="s">
        <v>54</v>
      </c>
      <c r="C45" s="396" t="s">
        <v>54</v>
      </c>
      <c r="D45" s="394" t="s">
        <v>54</v>
      </c>
      <c r="E45" s="394" t="s">
        <v>54</v>
      </c>
      <c r="F45" s="394" t="s">
        <v>54</v>
      </c>
      <c r="G45" s="394" t="s">
        <v>363</v>
      </c>
      <c r="H45" s="394" t="s">
        <v>54</v>
      </c>
      <c r="I45" s="394" t="s">
        <v>109</v>
      </c>
      <c r="J45" s="394" t="s">
        <v>71</v>
      </c>
      <c r="K45" s="394" t="str">
        <f>_XLFN.IFERROR(VLOOKUP(J45,Keyword!$C$2:$D$533,2,FALSE),"")</f>
        <v>Wait until JQUERY AJAX request is finished
- Value 1: Maximum of waiting time in seconds. Default is 60(s)</v>
      </c>
      <c r="L45" s="394" t="s">
        <v>54</v>
      </c>
      <c r="M45" s="394" t="s">
        <v>54</v>
      </c>
      <c r="N45" s="394" t="s">
        <v>54</v>
      </c>
      <c r="O45" s="394" t="s">
        <v>54</v>
      </c>
      <c r="P45" s="394" t="s">
        <v>54</v>
      </c>
      <c r="Q45" s="394" t="s">
        <v>54</v>
      </c>
      <c r="R45" s="394" t="s">
        <v>54</v>
      </c>
      <c r="S45" s="394" t="s">
        <v>54</v>
      </c>
      <c r="T45" s="394" t="s">
        <v>54</v>
      </c>
      <c r="U45" s="394" t="s">
        <v>54</v>
      </c>
      <c r="V45" s="394" t="s">
        <v>54</v>
      </c>
      <c r="W45" s="394" t="s">
        <v>54</v>
      </c>
      <c r="X45" s="394" t="s">
        <v>54</v>
      </c>
      <c r="Y45" s="394" t="s">
        <v>54</v>
      </c>
    </row>
    <row r="46" spans="1:25">
      <c r="A46" s="397" t="s">
        <v>54</v>
      </c>
      <c r="B46" s="394" t="s">
        <v>54</v>
      </c>
      <c r="C46" s="396" t="s">
        <v>54</v>
      </c>
      <c r="D46" s="394" t="s">
        <v>54</v>
      </c>
      <c r="E46" s="394" t="s">
        <v>54</v>
      </c>
      <c r="F46" s="394" t="s">
        <v>54</v>
      </c>
      <c r="G46" s="394" t="s">
        <v>363</v>
      </c>
      <c r="H46" s="394" t="s">
        <v>54</v>
      </c>
      <c r="I46" s="394" t="s">
        <v>134</v>
      </c>
      <c r="J46" s="394" t="s">
        <v>110</v>
      </c>
      <c r="K46" s="394" t="str">
        <f>_XLFN.IFERROR(VLOOKUP(J46,Keyword!$C$2:$D$533,2,FALSE),"")</f>
        <v>Verify text of label with specified value
- Locator(*): Locator of the label to be verified
- Value 1(*): The value will be compared to the text of label</v>
      </c>
      <c r="L46" s="394" t="s">
        <v>54</v>
      </c>
      <c r="M46" s="394" t="s">
        <v>135</v>
      </c>
      <c r="N46" s="394" t="s">
        <v>359</v>
      </c>
      <c r="O46" s="394" t="s">
        <v>54</v>
      </c>
      <c r="P46" s="394" t="s">
        <v>54</v>
      </c>
      <c r="Q46" s="394" t="s">
        <v>54</v>
      </c>
      <c r="R46" s="394" t="s">
        <v>54</v>
      </c>
      <c r="S46" s="394" t="s">
        <v>54</v>
      </c>
      <c r="T46" s="394" t="s">
        <v>54</v>
      </c>
      <c r="U46" s="394" t="s">
        <v>54</v>
      </c>
      <c r="V46" s="394" t="s">
        <v>54</v>
      </c>
      <c r="W46" s="394" t="s">
        <v>54</v>
      </c>
      <c r="X46" s="394" t="s">
        <v>54</v>
      </c>
      <c r="Y46" s="394" t="s">
        <v>54</v>
      </c>
    </row>
    <row r="47" spans="1:25">
      <c r="A47" s="397" t="s">
        <v>54</v>
      </c>
      <c r="B47" s="394" t="s">
        <v>54</v>
      </c>
      <c r="C47" s="396" t="s">
        <v>54</v>
      </c>
      <c r="D47" s="394" t="s">
        <v>54</v>
      </c>
      <c r="E47" s="394" t="s">
        <v>54</v>
      </c>
      <c r="F47" s="394" t="s">
        <v>54</v>
      </c>
      <c r="G47" s="394" t="s">
        <v>364</v>
      </c>
      <c r="H47" s="394" t="s">
        <v>54</v>
      </c>
      <c r="I47" s="394" t="s">
        <v>134</v>
      </c>
      <c r="J47" s="394" t="s">
        <v>110</v>
      </c>
      <c r="K47" s="394" t="str">
        <f>_XLFN.IFERROR(VLOOKUP(J47,Keyword!$C$2:$D$533,2,FALSE),"")</f>
        <v>Verify text of label with specified value
- Locator(*): Locator of the label to be verified
- Value 1(*): The value will be compared to the text of label</v>
      </c>
      <c r="L47" s="394" t="s">
        <v>54</v>
      </c>
      <c r="M47" s="394" t="s">
        <v>136</v>
      </c>
      <c r="N47" s="394" t="s">
        <v>137</v>
      </c>
      <c r="O47" s="394" t="s">
        <v>54</v>
      </c>
      <c r="P47" s="394" t="s">
        <v>54</v>
      </c>
      <c r="Q47" s="394" t="s">
        <v>54</v>
      </c>
      <c r="R47" s="394" t="s">
        <v>54</v>
      </c>
      <c r="S47" s="394" t="s">
        <v>54</v>
      </c>
      <c r="T47" s="394" t="s">
        <v>54</v>
      </c>
      <c r="U47" s="394" t="s">
        <v>54</v>
      </c>
      <c r="V47" s="394" t="s">
        <v>54</v>
      </c>
      <c r="W47" s="394" t="s">
        <v>54</v>
      </c>
      <c r="X47" s="394" t="s">
        <v>365</v>
      </c>
      <c r="Y47" s="394" t="s">
        <v>366</v>
      </c>
    </row>
    <row r="48" spans="1:25">
      <c r="A48" s="397" t="s">
        <v>49</v>
      </c>
      <c r="B48" s="394"/>
      <c r="C48" s="396" t="s">
        <v>83</v>
      </c>
      <c r="D48" s="394" t="s">
        <v>103</v>
      </c>
      <c r="E48" s="394"/>
      <c r="F48" s="394" t="s">
        <v>53</v>
      </c>
      <c r="G48" s="438" t="s">
        <v>363</v>
      </c>
      <c r="H48" s="394"/>
      <c r="I48" s="394"/>
      <c r="J48" s="394"/>
      <c r="K48" s="394" t="str">
        <f>_XLFN.IFERROR(VLOOKUP(J48,Keyword!$C$2:$D$533,2,FALSE),"")</f>
        <v/>
      </c>
      <c r="L48" s="394"/>
      <c r="M48" s="394"/>
      <c r="N48" s="394"/>
      <c r="O48" s="394"/>
      <c r="P48" s="394"/>
      <c r="Q48" s="394"/>
      <c r="R48" s="394"/>
      <c r="S48" s="394"/>
      <c r="T48" s="394"/>
      <c r="U48" s="394"/>
      <c r="V48" s="394"/>
      <c r="W48" s="394"/>
      <c r="X48" s="394"/>
      <c r="Y48" s="394"/>
    </row>
    <row r="49" spans="1:25">
      <c r="A49" s="397" t="s">
        <v>54</v>
      </c>
      <c r="B49" s="394" t="s">
        <v>54</v>
      </c>
      <c r="C49" s="396" t="s">
        <v>54</v>
      </c>
      <c r="D49" s="394" t="s">
        <v>54</v>
      </c>
      <c r="E49" s="394" t="s">
        <v>54</v>
      </c>
      <c r="F49" s="394" t="s">
        <v>54</v>
      </c>
      <c r="G49" s="394" t="s">
        <v>363</v>
      </c>
      <c r="H49" s="394" t="s">
        <v>54</v>
      </c>
      <c r="I49" s="394" t="s">
        <v>54</v>
      </c>
      <c r="J49" s="394" t="s">
        <v>77</v>
      </c>
      <c r="K49" s="394"/>
      <c r="L49" s="394" t="s">
        <v>54</v>
      </c>
      <c r="M49" s="394" t="s">
        <v>54</v>
      </c>
      <c r="N49" s="394" t="s">
        <v>362</v>
      </c>
      <c r="O49" s="394" t="s">
        <v>54</v>
      </c>
      <c r="P49" s="394" t="s">
        <v>54</v>
      </c>
      <c r="Q49" s="394" t="s">
        <v>54</v>
      </c>
      <c r="R49" s="394" t="s">
        <v>54</v>
      </c>
      <c r="S49" s="394" t="s">
        <v>54</v>
      </c>
      <c r="T49" s="394" t="s">
        <v>54</v>
      </c>
      <c r="U49" s="394" t="s">
        <v>54</v>
      </c>
      <c r="V49" s="394" t="s">
        <v>54</v>
      </c>
      <c r="W49" s="394" t="s">
        <v>54</v>
      </c>
      <c r="X49" s="394" t="s">
        <v>54</v>
      </c>
      <c r="Y49" s="394" t="s">
        <v>54</v>
      </c>
    </row>
    <row r="50" spans="1:25">
      <c r="A50" s="408" t="s">
        <v>54</v>
      </c>
      <c r="B50" s="408" t="s">
        <v>54</v>
      </c>
      <c r="C50" s="409" t="s">
        <v>138</v>
      </c>
      <c r="D50" s="409" t="s">
        <v>54</v>
      </c>
      <c r="E50" s="409" t="s">
        <v>54</v>
      </c>
      <c r="F50" s="409" t="s">
        <v>53</v>
      </c>
      <c r="G50" s="408" t="s">
        <v>54</v>
      </c>
      <c r="H50" s="408" t="s">
        <v>54</v>
      </c>
      <c r="I50" s="408" t="s">
        <v>54</v>
      </c>
      <c r="J50" s="408"/>
      <c r="K50" s="408"/>
      <c r="L50" s="408" t="s">
        <v>54</v>
      </c>
      <c r="M50" s="408" t="s">
        <v>54</v>
      </c>
      <c r="N50" s="408" t="s">
        <v>54</v>
      </c>
      <c r="O50" s="408" t="s">
        <v>54</v>
      </c>
      <c r="P50" s="408" t="s">
        <v>54</v>
      </c>
      <c r="Q50" s="408" t="s">
        <v>54</v>
      </c>
      <c r="R50" s="408" t="s">
        <v>54</v>
      </c>
      <c r="S50" s="408" t="s">
        <v>54</v>
      </c>
      <c r="T50" s="408"/>
      <c r="U50" s="408"/>
      <c r="V50" s="408"/>
      <c r="W50" s="408"/>
      <c r="X50" s="408"/>
      <c r="Y50" s="408"/>
    </row>
  </sheetData>
  <autoFilter ref="A1:Y50"/>
  <dataValidations count="24">
    <dataValidation allowBlank="1" errorStyle="stop" operator="between" showInputMessage="1" sqref="E2" type="list" view="0">
      <formula1>"High, Medium, Low"</formula1>
    </dataValidation>
    <dataValidation allowBlank="1" errorStyle="stop" operator="between" showInputMessage="1" sqref="J2:J4" type="list" view="0">
      <formula1>Keyword!$C$2:$C$500</formula1>
    </dataValidation>
    <dataValidation allowBlank="1" errorStyle="stop" operator="between" showInputMessage="1" sqref="J5" type="list" view="0">
      <formula1>Keyword!$C$2:$C$500</formula1>
    </dataValidation>
    <dataValidation allowBlank="1" errorStyle="stop" operator="between" showInputMessage="1" sqref="J6" type="list" view="0">
      <formula1>Keyword!$C$2:$C$500</formula1>
    </dataValidation>
    <dataValidation allowBlank="1" errorStyle="stop" operator="between" showInputMessage="1" sqref="J7" type="list" view="0">
      <formula1>Keyword!$C$2:$C$500</formula1>
    </dataValidation>
    <dataValidation allowBlank="1" errorStyle="stop" operator="between" showInputMessage="1" sqref="J8" type="list" view="0">
      <formula1>Keyword!$C$2:$C$500</formula1>
    </dataValidation>
    <dataValidation allowBlank="1" errorStyle="stop" operator="between" showInputMessage="1" sqref="J9" type="list" view="0">
      <formula1>Keyword!$C$2:$C$500</formula1>
    </dataValidation>
    <dataValidation allowBlank="1" errorStyle="stop" operator="between" showInputMessage="1" sqref="J10" type="list" view="0">
      <formula1>Keyword!$C$2:$C$500</formula1>
    </dataValidation>
    <dataValidation allowBlank="1" errorStyle="stop" operator="between" showInputMessage="1" sqref="J12" type="list" view="0">
      <formula1>Keyword!$C$2:$C$500</formula1>
    </dataValidation>
    <dataValidation allowBlank="1" errorStyle="stop" operator="between" showInputMessage="1" sqref="J13" type="list" view="0">
      <formula1>Keyword!$C$2:$C$500</formula1>
    </dataValidation>
    <dataValidation allowBlank="1" errorStyle="stop" operator="between" showInputMessage="1" sqref="J14" type="list" view="0">
      <formula1>Keyword!$C$2:$C$500</formula1>
    </dataValidation>
    <dataValidation allowBlank="1" errorStyle="stop" operator="between" showInputMessage="1" sqref="J15" type="list" view="0">
      <formula1>Keyword!$C$2:$C$500</formula1>
    </dataValidation>
    <dataValidation allowBlank="1" errorStyle="stop" operator="between" showInputMessage="1" sqref="J16" type="list" view="0">
      <formula1>Keyword!$C$2:$C$500</formula1>
    </dataValidation>
    <dataValidation allowBlank="1" errorStyle="stop" operator="between" showInputMessage="1" sqref="J17" type="list" view="0">
      <formula1>Keyword!$C$2:$C$500</formula1>
    </dataValidation>
    <dataValidation allowBlank="1" errorStyle="stop" operator="between" showInputMessage="1" sqref="J19" type="list" view="0">
      <formula1>Keyword!$C$2:$C$500</formula1>
    </dataValidation>
    <dataValidation allowBlank="1" errorStyle="stop" operator="between" showInputMessage="1" sqref="J20" type="list" view="0">
      <formula1>Keyword!$C$2:$C$500</formula1>
    </dataValidation>
    <dataValidation allowBlank="1" errorStyle="stop" operator="between" showInputMessage="1" sqref="J21" type="list" view="0">
      <formula1>Keyword!$C$2:$C$500</formula1>
    </dataValidation>
    <dataValidation allowBlank="1" errorStyle="stop" operator="between" showInputMessage="1" sqref="J23" type="list" view="0">
      <formula1>Keyword!$C$2:$C$500</formula1>
    </dataValidation>
    <dataValidation allowBlank="1" errorStyle="stop" operator="between" showInputMessage="1" sqref="J24" type="list" view="0">
      <formula1>Keyword!$C$2:$C$500</formula1>
    </dataValidation>
    <dataValidation allowBlank="1" errorStyle="stop" operator="between" showInputMessage="1" sqref="J29" type="list" view="0">
      <formula1>Keyword!$C$2:$C$500</formula1>
    </dataValidation>
    <dataValidation allowBlank="1" errorStyle="stop" operator="between" showInputMessage="1" sqref="J34" type="list" view="0">
      <formula1>Keyword!$C$2:$C$500</formula1>
    </dataValidation>
    <dataValidation allowBlank="1" errorStyle="stop" operator="between" showInputMessage="1" sqref="J38" type="list" view="0">
      <formula1>Keyword!$C$2:$C$500</formula1>
    </dataValidation>
    <dataValidation allowBlank="1" errorStyle="stop" operator="between" showInputMessage="1" sqref="J43" type="list" view="0">
      <formula1>Keyword!$C$2:$C$500</formula1>
    </dataValidation>
    <dataValidation allowBlank="1" errorStyle="stop" operator="between" showInputMessage="1" sqref="J48" type="list" view="0">
      <formula1>Keyword!$C$2:$C$500</formula1>
    </dataValidation>
  </dataValidations>
  <printOptions>
    <extLst>
      <ext uri="smNativeData">
        <pm:pageFlags xmlns:pm="smNativeData" autoHeightFooter="0" autoHeightHeader="0" fitToPageBoth="0" id="1542774493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774493" l="56" r="56" t="56" vertical="0"/>
        <pm:footer xmlns:pm="smNativeData" b="56" borderId="0" fillId="0" id="1542774493" l="56" r="56" t="56" vertical="2"/>
        <pm:paperBin xmlns:pm="smNativeData" Id="0" id="1542774493" type="0" value="0"/>
        <pm:paperBin xmlns:pm="smNativeData" Id="1" id="1542774493" type="0" value="0"/>
      </ext>
    </extLst>
  </headerFooter>
  <extLst>
    <ext uri="smNativeData">
      <pm:sheetPrefs xmlns:pm="smNativeData" day="1542774493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D2:G10"/>
  <sheetViews>
    <sheetView view="normal" workbookViewId="0" zoomScale="85">
      <selection activeCell="E17" sqref="E17"/>
    </sheetView>
  </sheetViews>
  <sheetFormatPr defaultRowHeight="15.40"/>
  <cols>
    <col min="4" max="4" customWidth="true" width="10.142857" collapsed="false"/>
    <col min="5" max="5" customWidth="true" width="54.142857" collapsed="false"/>
    <col min="6" max="6" customWidth="true" width="15.142857" collapsed="false"/>
    <col min="7" max="7" customWidth="true" width="13.714286" collapsed="false"/>
    <col min="8" max="8" customWidth="true" width="17.0" collapsed="false"/>
    <col min="9" max="9" customWidth="true" width="10.285714" collapsed="false"/>
  </cols>
  <sheetData>
    <row r="2" spans="4:5">
      <c r="D2" s="412" t="s">
        <v>50</v>
      </c>
      <c r="E2" s="410" t="s">
        <v>139</v>
      </c>
    </row>
    <row r="3" spans="5:5">
      <c r="E3" s="411" t="s">
        <v>98</v>
      </c>
    </row>
    <row r="4" spans="5:6">
      <c r="E4" s="411" t="s">
        <v>140</v>
      </c>
      <c r="F4" s="412" t="s">
        <v>50</v>
      </c>
    </row>
    <row r="7" spans="4:5">
      <c r="D7" s="412" t="s">
        <v>58</v>
      </c>
      <c r="E7" s="410" t="s">
        <v>141</v>
      </c>
    </row>
    <row r="8" spans="5:5">
      <c r="E8" s="411" t="s">
        <v>142</v>
      </c>
    </row>
    <row r="9" spans="5:5">
      <c r="E9" s="411" t="s">
        <v>143</v>
      </c>
    </row>
    <row r="10" spans="5:6">
      <c r="E10" s="411" t="s">
        <v>144</v>
      </c>
      <c r="F10" s="413" t="s">
        <v>58</v>
      </c>
    </row>
  </sheetData>
  <printOptions>
    <extLst>
      <ext uri="smNativeData">
        <pm:pageFlags xmlns:pm="smNativeData" autoHeightFooter="0" autoHeightHeader="0" fitToPageBoth="0" id="1542774493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774493" l="56" r="56" t="56" vertical="0"/>
        <pm:footer xmlns:pm="smNativeData" b="56" borderId="0" fillId="0" id="1542774493" l="56" r="56" t="56" vertical="2"/>
        <pm:paperBin xmlns:pm="smNativeData" Id="0" id="1542774493" type="0" value="0"/>
        <pm:paperBin xmlns:pm="smNativeData" Id="1" id="1542774493" type="0" value="0"/>
      </ext>
    </extLst>
  </headerFooter>
  <extLst>
    <ext uri="smNativeData">
      <pm:sheetPrefs xmlns:pm="smNativeData" day="1542774493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P914"/>
  <sheetViews>
    <sheetView showGridLines="0" view="normal" workbookViewId="0">
      <selection activeCell="G14" sqref="G14"/>
    </sheetView>
  </sheetViews>
  <sheetFormatPr baseColWidth="16" customHeight="1" defaultColWidth="17.285714" defaultRowHeight="15"/>
  <cols>
    <col min="1" max="1" customWidth="true" style="9" width="16.714286" collapsed="false"/>
    <col min="2" max="2" customWidth="true" style="9" width="25.428571" collapsed="false"/>
    <col min="3" max="3" customWidth="true" style="9" width="9.285714" collapsed="false"/>
    <col min="4" max="4" customWidth="true" style="9" width="9.571429" collapsed="false"/>
    <col min="5" max="5" customWidth="true" style="9" width="8.142857" collapsed="false"/>
    <col min="6" max="6" customWidth="true" style="9" width="18.285714" collapsed="false"/>
    <col min="7" max="7" style="9" width="17.285714" collapsed="false"/>
    <col min="8" max="8" customWidth="true" style="9" width="12.571429" collapsed="false"/>
    <col min="9" max="9" customWidth="true" style="9" width="9.428571" collapsed="false"/>
    <col min="10" max="10" customWidth="true" style="9" width="16.285714" collapsed="false"/>
    <col min="11" max="18" customWidth="true" style="9" width="8.714286" collapsed="false"/>
    <col min="19" max="16384" style="9" width="17.285714" collapsed="false"/>
  </cols>
  <sheetData>
    <row customHeight="1" ht="15" r="1" spans="1:10">
      <c r="A1" s="381"/>
      <c r="B1" s="381"/>
      <c r="C1" s="381"/>
      <c r="D1" s="382"/>
      <c r="E1" s="383"/>
      <c r="F1" s="393" t="s">
        <v>145</v>
      </c>
      <c r="G1" s="395" t="s">
        <v>368</v>
      </c>
      <c r="H1" s="384"/>
      <c r="I1" s="384"/>
      <c r="J1" s="383"/>
    </row>
    <row customHeight="1" ht="15" r="2" spans="1:10">
      <c r="A2" s="381"/>
      <c r="B2" s="381"/>
      <c r="C2" s="381"/>
      <c r="D2" s="382"/>
      <c r="E2" s="383"/>
      <c r="F2" s="393" t="s">
        <v>146</v>
      </c>
      <c r="G2" s="395" t="s">
        <v>369</v>
      </c>
      <c r="H2" s="384"/>
      <c r="I2" s="384"/>
      <c r="J2" s="383"/>
    </row>
    <row customHeight="1" ht="15" r="3" spans="1:10">
      <c r="A3" s="381"/>
      <c r="B3" s="403" t="s">
        <v>147</v>
      </c>
      <c r="C3" s="403"/>
      <c r="D3" s="403"/>
      <c r="E3" s="403"/>
      <c r="F3" s="393" t="s">
        <v>148</v>
      </c>
      <c r="G3" s="395" t="s">
        <v>370</v>
      </c>
      <c r="H3" s="384"/>
      <c r="I3" s="384"/>
      <c r="J3" s="383"/>
    </row>
    <row customHeight="1" ht="12.75" r="4" spans="1:10">
      <c r="A4" s="381"/>
      <c r="B4" s="403"/>
      <c r="C4" s="403"/>
      <c r="D4" s="403"/>
      <c r="E4" s="403"/>
      <c r="F4" s="384"/>
      <c r="G4" s="384"/>
      <c r="H4" s="384"/>
      <c r="I4" s="384"/>
      <c r="J4" s="383"/>
    </row>
    <row customHeight="1" ht="12.75" r="5" spans="1:10">
      <c r="A5" s="381"/>
      <c r="B5" s="403"/>
      <c r="C5" s="403"/>
      <c r="D5" s="403"/>
      <c r="E5" s="403"/>
      <c r="F5" s="384"/>
      <c r="G5" s="384"/>
      <c r="H5" s="384"/>
      <c r="I5" s="384"/>
      <c r="J5" s="383"/>
    </row>
    <row customHeight="1" ht="12.75" r="6" spans="1:10">
      <c r="A6" s="381"/>
      <c r="B6" s="381"/>
      <c r="C6" s="381"/>
      <c r="D6" s="382"/>
      <c r="E6" s="383"/>
      <c r="F6" s="384"/>
      <c r="G6" s="384"/>
      <c r="H6" s="384"/>
      <c r="I6" s="384"/>
      <c r="J6" s="383"/>
    </row>
    <row customHeight="1" ht="15" r="7" spans="1:10">
      <c r="A7" s="381"/>
      <c r="B7" s="404" t="s">
        <v>1</v>
      </c>
      <c r="C7" s="405"/>
      <c r="D7" s="406"/>
      <c r="E7" s="406"/>
      <c r="F7" s="384"/>
      <c r="G7" s="384"/>
      <c r="H7" s="393" t="s">
        <v>149</v>
      </c>
      <c r="I7" s="393" t="s">
        <v>150</v>
      </c>
      <c r="J7" s="383"/>
    </row>
    <row customHeight="1" ht="15" r="8" spans="1:10">
      <c r="A8" s="381"/>
      <c r="B8" s="404" t="s">
        <v>151</v>
      </c>
      <c r="C8" s="405"/>
      <c r="D8" s="406"/>
      <c r="E8" s="406"/>
      <c r="F8" s="384"/>
      <c r="G8" s="384"/>
      <c r="H8" s="387">
        <f>H13</f>
      </c>
      <c r="I8" s="387">
        <f>I13</f>
      </c>
      <c r="J8" s="383"/>
    </row>
    <row customHeight="1" ht="12.75" r="9" spans="1:10">
      <c r="A9" s="381"/>
      <c r="B9" s="381"/>
      <c r="C9" s="381"/>
      <c r="D9" s="382"/>
      <c r="E9" s="383"/>
      <c r="F9" s="384"/>
      <c r="G9" s="384"/>
      <c r="H9" s="384"/>
      <c r="I9" s="384"/>
      <c r="J9" s="383"/>
    </row>
    <row customHeight="1" ht="13.50" r="10" spans="1:10">
      <c r="A10" s="385"/>
      <c r="C10" s="386"/>
      <c r="D10" s="386"/>
      <c r="E10" s="386"/>
      <c r="F10" s="386"/>
      <c r="G10" s="386"/>
      <c r="H10" s="384"/>
      <c r="I10" s="384"/>
      <c r="J10" s="381"/>
    </row>
    <row customHeight="1" ht="15" r="11" spans="1:10">
      <c r="A11" s="385"/>
      <c r="B11" s="393" t="s">
        <v>12</v>
      </c>
      <c r="C11" s="393" t="s">
        <v>149</v>
      </c>
      <c r="D11" s="393" t="s">
        <v>150</v>
      </c>
      <c r="E11" s="393" t="s">
        <v>152</v>
      </c>
      <c r="F11" s="393" t="s">
        <v>153</v>
      </c>
      <c r="G11" s="393" t="s">
        <v>154</v>
      </c>
      <c r="H11" s="393" t="s">
        <v>155</v>
      </c>
      <c r="I11" s="393" t="s">
        <v>156</v>
      </c>
      <c r="J11" s="381"/>
    </row>
    <row customHeight="1" ht="13.50" r="12" spans="1:10">
      <c r="A12" s="385"/>
      <c r="B12" s="508" t="s">
        <v>49</v>
      </c>
      <c r="C12" s="449">
        <f>COUNTIFS(TC!$A$2:$A$65000,B12,TC!$G$2:$G$65000,"PASS")</f>
      </c>
      <c r="D12" s="457">
        <f>COUNTIFS(TC!$A$2:$A$65000,B12,TC!$G$2:$G$65000,"FAIL")</f>
      </c>
      <c r="E12" s="465">
        <f>COUNTIFS(TC!$A$2:$A$65000,B12,TC!$G$2:$G$65000,"SKIP")</f>
      </c>
      <c r="F12" s="473">
        <f>COUNTIF(TC!$A$2:$A$64788,B12)</f>
      </c>
      <c r="G12" s="482">
        <f>IF(F12=0,0,(C12+D12)/F12)</f>
      </c>
      <c r="H12" s="490">
        <f>IF((F12-E12)=0,0,C12/(F12-E12))</f>
      </c>
      <c r="I12" s="498">
        <f>IF((F12-E12)=0,0,D12/(F12-E12))</f>
      </c>
      <c r="J12" s="381"/>
    </row>
    <row customHeight="1" ht="13.50" r="13" spans="1:10">
      <c r="A13" s="385"/>
      <c r="B13" s="515" t="s">
        <v>367</v>
      </c>
      <c r="C13" s="523">
        <f>SUM(C12:C12)</f>
      </c>
      <c r="D13" s="531">
        <f>SUM(D12:D12)</f>
      </c>
      <c r="E13" s="539">
        <f>SUM(E12:E12)</f>
      </c>
      <c r="F13" s="547">
        <f>SUM(F12:F12)</f>
      </c>
      <c r="G13" s="557">
        <f>IF(F13=0,0,(C13+D13)/F13)</f>
      </c>
      <c r="H13" s="565">
        <f>IF((F13-E13)=0,0,(C13)/(F13-E13))</f>
      </c>
      <c r="I13" s="573">
        <f>IF((F13-E13)=0,0,(D13)/(F13-E13))</f>
      </c>
      <c r="J13" s="381"/>
    </row>
    <row customHeight="1" ht="19.50" r="14" spans="1:15">
      <c r="A14" s="381"/>
      <c r="B14" s="381"/>
      <c r="C14" s="381"/>
      <c r="D14" s="381"/>
      <c r="E14" s="381"/>
      <c r="F14" s="381"/>
      <c r="G14" s="381"/>
      <c r="H14" s="381"/>
      <c r="I14" s="381"/>
      <c r="J14" s="381"/>
      <c r="M14" s="388"/>
      <c r="N14" s="388"/>
      <c r="O14" s="388"/>
    </row>
    <row customHeight="1" ht="19.50" r="15" spans="1:15">
      <c r="A15" s="381"/>
      <c r="B15" s="381"/>
      <c r="C15" s="381"/>
      <c r="D15" s="381"/>
      <c r="E15" s="381"/>
      <c r="F15" s="381"/>
      <c r="G15" s="381"/>
      <c r="H15" s="381"/>
      <c r="I15" s="381"/>
      <c r="J15" s="381"/>
      <c r="K15" s="388"/>
      <c r="M15" s="388"/>
      <c r="O15" s="388"/>
    </row>
    <row customHeight="1" ht="19.50" r="16" spans="1:15">
      <c r="A16" s="381"/>
      <c r="B16" s="381"/>
      <c r="C16" s="381"/>
      <c r="D16" s="381"/>
      <c r="E16" s="381"/>
      <c r="F16" s="381"/>
      <c r="G16" s="381"/>
      <c r="H16" s="381"/>
      <c r="I16" s="381"/>
      <c r="J16" s="381"/>
      <c r="K16" s="388"/>
      <c r="M16" s="388"/>
      <c r="O16" s="388"/>
    </row>
    <row customHeight="1" ht="19.50" r="17" spans="1:15">
      <c r="A17" s="381"/>
      <c r="B17" s="381"/>
      <c r="C17" s="381"/>
      <c r="D17" s="381"/>
      <c r="E17" s="381"/>
      <c r="F17" s="381"/>
      <c r="G17" s="381"/>
      <c r="H17" s="381"/>
      <c r="I17" s="381"/>
      <c r="J17" s="381"/>
      <c r="K17" s="388"/>
      <c r="M17" s="388"/>
      <c r="O17" s="388"/>
    </row>
    <row customHeight="1" ht="12.75" r="18" spans="1:1"/>
    <row customHeight="1" ht="12.75" r="19" spans="1:1"/>
    <row customHeight="1" ht="12.75" r="20" spans="1:1"/>
    <row customHeight="1" ht="12.75" r="21" spans="1:1"/>
    <row customHeight="1" ht="12.75" r="22" spans="1:1"/>
    <row customHeight="1" ht="12.75" r="23" spans="1:1"/>
    <row customHeight="1" ht="12.75" r="24" spans="1:1"/>
    <row customHeight="1" ht="12.75" r="25" spans="1:1"/>
    <row customHeight="1" ht="12.75" r="26" spans="1:1"/>
    <row customHeight="1" ht="12.75" r="27" spans="1:1"/>
    <row customHeight="1" ht="12.75" r="28" spans="1:1"/>
    <row customHeight="1" ht="12.75" r="29" spans="1:1"/>
    <row customHeight="1" ht="12.75" r="30" spans="1:1"/>
    <row customHeight="1" ht="12.75" r="31" spans="1:1"/>
    <row customHeight="1" ht="12.75" r="32" spans="1:1"/>
    <row customHeight="1" ht="12.75" r="33" spans="1:1"/>
    <row customHeight="1" ht="12.75" r="34" spans="1:1"/>
    <row customHeight="1" ht="12.75" r="35" spans="1:1"/>
    <row customHeight="1" ht="12.75" r="36" spans="1:1"/>
    <row customHeight="1" ht="12.75" r="37" spans="1:1"/>
    <row customHeight="1" ht="12.75" r="38" spans="1:1"/>
    <row customHeight="1" ht="12.75" r="39" spans="1:1"/>
    <row customHeight="1" ht="12.75" r="40" spans="1:1"/>
    <row customHeight="1" ht="12.75" r="41" spans="1:1"/>
    <row customHeight="1" ht="12.75" r="42" spans="1:1"/>
    <row customHeight="1" ht="12.75" r="43" spans="1:1"/>
    <row customHeight="1" ht="12.75" r="44" spans="1:1"/>
    <row customHeight="1" ht="12.75" r="45" spans="1:1"/>
    <row customHeight="1" ht="12.75" r="46" spans="1:1"/>
    <row customHeight="1" ht="12.75" r="47" spans="1:1"/>
    <row customHeight="1" ht="12.75" r="48" spans="1:1"/>
    <row customHeight="1" ht="12.75" r="49" spans="1:1"/>
    <row customHeight="1" ht="12.75" r="50" spans="1:1"/>
    <row customHeight="1" ht="12.75" r="51" spans="1:1"/>
    <row customHeight="1" ht="12.75" r="52" spans="1:1"/>
    <row customHeight="1" ht="12.75" r="53" spans="1:1"/>
    <row customHeight="1" ht="12.75" r="54" spans="1:1"/>
    <row customHeight="1" ht="12.75" r="55" spans="1:1"/>
    <row customHeight="1" ht="12.75" r="56" spans="1:1"/>
    <row customHeight="1" ht="12.75" r="57" spans="1:1"/>
    <row customHeight="1" ht="12.75" r="58" spans="1:1"/>
    <row customHeight="1" ht="12.75" r="59" spans="1:1"/>
    <row customHeight="1" ht="12.75" r="60" spans="1:1"/>
    <row customHeight="1" ht="12.75" r="61" spans="1:1"/>
    <row customHeight="1" ht="12.75" r="62" spans="1:1"/>
    <row customHeight="1" ht="12.75" r="63" spans="1:1"/>
    <row customHeight="1" ht="12.75" r="64" spans="1:1"/>
    <row customHeight="1" ht="12.75" r="65" spans="1:1"/>
    <row customHeight="1" ht="12.75" r="66" spans="1:1"/>
    <row customHeight="1" ht="12.75" r="67" spans="1:1"/>
    <row customHeight="1" ht="12.75" r="68" spans="1:1"/>
    <row customHeight="1" ht="12.75" r="69" spans="1:1"/>
    <row customHeight="1" ht="12.75" r="70" spans="1:1"/>
    <row customHeight="1" ht="12.75" r="71" spans="1:1"/>
    <row customHeight="1" ht="12.75" r="72" spans="1:1"/>
    <row customHeight="1" ht="12.75" r="73" spans="1:1"/>
    <row customHeight="1" ht="12.75" r="74" spans="1:1"/>
    <row customHeight="1" ht="12.75" r="75" spans="1:1"/>
    <row customHeight="1" ht="12.75" r="76" spans="1:1"/>
    <row customHeight="1" ht="12.75" r="77" spans="1:1"/>
    <row customHeight="1" ht="12.75" r="78" spans="1:1"/>
    <row customHeight="1" ht="12.75" r="79" spans="1:1"/>
    <row customHeight="1" ht="12.75" r="80" spans="1:1"/>
    <row customHeight="1" ht="12.75" r="81" spans="1:1"/>
    <row customHeight="1" ht="12.75" r="82" spans="1:1"/>
    <row customHeight="1" ht="12.75" r="83" spans="1:1"/>
    <row customHeight="1" ht="12.75" r="84" spans="1:1"/>
    <row customHeight="1" ht="12.75" r="85" spans="1:1"/>
    <row customHeight="1" ht="12.75" r="86" spans="1:1"/>
    <row customHeight="1" ht="12.75" r="87" spans="1:1"/>
    <row customHeight="1" ht="12.75" r="88" spans="1:1"/>
    <row customHeight="1" ht="12.75" r="89" spans="1:1"/>
    <row customHeight="1" ht="12.75" r="90" spans="1:1"/>
    <row customHeight="1" ht="12.75" r="91" spans="1:1"/>
    <row customHeight="1" ht="12.75" r="92" spans="1:1"/>
    <row customHeight="1" ht="12.75" r="93" spans="1:1"/>
    <row customHeight="1" ht="12.75" r="94" spans="1:1"/>
    <row customHeight="1" ht="12.75" r="95" spans="1:1"/>
    <row customHeight="1" ht="12.75" r="96" spans="1:1"/>
    <row customHeight="1" ht="12.75" r="97" spans="1:1"/>
    <row customHeight="1" ht="12.75" r="98" spans="1:1"/>
    <row customHeight="1" ht="12.75" r="99" spans="1:1"/>
    <row customHeight="1" ht="12.75" r="100" spans="1:1"/>
    <row customHeight="1" ht="12.75" r="101" spans="1:1"/>
    <row customHeight="1" ht="12.75" r="102" spans="1:1"/>
    <row customHeight="1" ht="12.75" r="103" spans="1:1"/>
    <row customHeight="1" ht="12.75" r="104" spans="1:1"/>
    <row customHeight="1" ht="12.75" r="105" spans="1:1"/>
    <row customHeight="1" ht="12.75" r="106" spans="1:1"/>
    <row customHeight="1" ht="12.75" r="107" spans="1:1"/>
    <row customHeight="1" ht="12.75" r="108" spans="1:1"/>
    <row customHeight="1" ht="12.75" r="109" spans="1:1"/>
    <row customHeight="1" ht="12.75" r="110" spans="1:1"/>
    <row customHeight="1" ht="12.75" r="111" spans="1:1"/>
    <row customHeight="1" ht="12.75" r="112" spans="1:1"/>
    <row customHeight="1" ht="12.75" r="113" spans="1:1"/>
    <row customHeight="1" ht="12.75" r="114" spans="1:1"/>
    <row customHeight="1" ht="12.75" r="115" spans="1:1"/>
    <row customHeight="1" ht="12.75" r="116" spans="1:1"/>
    <row customHeight="1" ht="12.75" r="117" spans="1:1"/>
    <row customHeight="1" ht="12.75" r="118" spans="1:1"/>
    <row customHeight="1" ht="12.75" r="119" spans="1:1"/>
    <row customHeight="1" ht="12.75" r="120" spans="1:1"/>
    <row customHeight="1" ht="12.75" r="121" spans="1:1"/>
    <row customHeight="1" ht="12.75" r="122" spans="1:1"/>
    <row customHeight="1" ht="12.75" r="123" spans="1:1"/>
    <row customHeight="1" ht="12.75" r="124" spans="1:1"/>
    <row customHeight="1" ht="12.75" r="125" spans="1:1"/>
    <row customHeight="1" ht="12.75" r="126" spans="1:1"/>
    <row customHeight="1" ht="12.75" r="127" spans="1:1"/>
    <row customHeight="1" ht="12.75" r="128" spans="1:1"/>
    <row customHeight="1" ht="12.75" r="129" spans="1:1"/>
    <row customHeight="1" ht="12.75" r="130" spans="1:1"/>
    <row customHeight="1" ht="12.75" r="131" spans="1:1"/>
    <row customHeight="1" ht="12.75" r="132" spans="1:1"/>
    <row customHeight="1" ht="12.75" r="133" spans="1:1"/>
    <row customHeight="1" ht="12.75" r="134" spans="1:1"/>
    <row customHeight="1" ht="12.75" r="135" spans="1:1"/>
    <row customHeight="1" ht="12.75" r="136" spans="1:1"/>
    <row customHeight="1" ht="12.75" r="137" spans="1:1"/>
    <row customHeight="1" ht="12.75" r="138" spans="1:1"/>
    <row customHeight="1" ht="12.75" r="139" spans="1:1"/>
    <row customHeight="1" ht="12.75" r="140" spans="1:1"/>
    <row customHeight="1" ht="12.75" r="141" spans="1:1"/>
    <row customHeight="1" ht="12.75" r="142" spans="1:1"/>
    <row customHeight="1" ht="12.75" r="143" spans="1:1"/>
    <row customHeight="1" ht="12.75" r="144" spans="1:1"/>
    <row customHeight="1" ht="12.75" r="145" spans="1:1"/>
    <row customHeight="1" ht="12.75" r="146" spans="1:1"/>
    <row customHeight="1" ht="12.75" r="147" spans="1:1"/>
    <row customHeight="1" ht="12.75" r="148" spans="1:1"/>
    <row customHeight="1" ht="12.75" r="149" spans="1:1"/>
    <row customHeight="1" ht="12.75" r="150" spans="1:1"/>
    <row customHeight="1" ht="12.75" r="151" spans="1:1"/>
    <row customHeight="1" ht="12.75" r="152" spans="1:1"/>
    <row customHeight="1" ht="12.75" r="153" spans="1:1"/>
    <row customHeight="1" ht="12.75" r="154" spans="1:1"/>
    <row customHeight="1" ht="12.75" r="155" spans="1:1"/>
    <row customHeight="1" ht="12.75" r="156" spans="1:1"/>
    <row customHeight="1" ht="12.75" r="157" spans="1:1"/>
    <row customHeight="1" ht="12.75" r="158" spans="1:1"/>
    <row customHeight="1" ht="12.75" r="159" spans="1:1"/>
    <row customHeight="1" ht="12.75" r="160" spans="1:1"/>
    <row customHeight="1" ht="12.75" r="161" spans="1:1"/>
    <row customHeight="1" ht="12.75" r="162" spans="1:1"/>
    <row customHeight="1" ht="12.75" r="163" spans="1:1"/>
    <row customHeight="1" ht="12.75" r="164" spans="1:1"/>
    <row customHeight="1" ht="12.75" r="165" spans="1:1"/>
    <row customHeight="1" ht="12.75" r="166" spans="1:1"/>
    <row customHeight="1" ht="12.75" r="167" spans="1:1"/>
    <row customHeight="1" ht="12.75" r="168" spans="1:1"/>
    <row customHeight="1" ht="12.75" r="169" spans="1:1"/>
    <row customHeight="1" ht="12.75" r="170" spans="1:1"/>
    <row customHeight="1" ht="12.75" r="171" spans="1:1"/>
    <row customHeight="1" ht="12.75" r="172" spans="1:1"/>
    <row customHeight="1" ht="12.75" r="173" spans="1:1"/>
    <row customHeight="1" ht="12.75" r="174" spans="1:1"/>
    <row customHeight="1" ht="12.75" r="175" spans="1:1"/>
    <row customHeight="1" ht="12.75" r="176" spans="1:1"/>
    <row customHeight="1" ht="12.75" r="177" spans="1:1"/>
    <row customHeight="1" ht="12.75" r="178" spans="1:1"/>
    <row customHeight="1" ht="12.75" r="179" spans="1:1"/>
    <row customHeight="1" ht="12.75" r="180" spans="1:1"/>
    <row customHeight="1" ht="12.75" r="181" spans="1:1"/>
    <row customHeight="1" ht="12.75" r="182" spans="1:1"/>
    <row customHeight="1" ht="12.75" r="183" spans="1:1"/>
    <row customHeight="1" ht="12.75" r="184" spans="1:1"/>
    <row customHeight="1" ht="12.75" r="185" spans="1:1"/>
    <row customHeight="1" ht="12.75" r="186" spans="1:1"/>
    <row customHeight="1" ht="12.75" r="187" spans="1:1"/>
    <row customHeight="1" ht="12.75" r="188" spans="1:1"/>
    <row customHeight="1" ht="12.75" r="189" spans="1:1"/>
    <row customHeight="1" ht="12.75" r="190" spans="1:1"/>
    <row customHeight="1" ht="12.75" r="191" spans="1:1"/>
    <row customHeight="1" ht="12.75" r="192" spans="1:1"/>
    <row customHeight="1" ht="12.75" r="193" spans="1:1"/>
    <row customHeight="1" ht="12.75" r="194" spans="1:1"/>
    <row customHeight="1" ht="12.75" r="195" spans="1:1"/>
    <row customHeight="1" ht="12.75" r="196" spans="1:1"/>
    <row customHeight="1" ht="12.75" r="197" spans="1:1"/>
    <row customHeight="1" ht="12.75" r="198" spans="1:1"/>
    <row customHeight="1" ht="12.75" r="199" spans="1:1"/>
    <row customHeight="1" ht="12.75" r="200" spans="1:1"/>
    <row customHeight="1" ht="12.75" r="201" spans="1:1"/>
    <row customHeight="1" ht="12.75" r="202" spans="1:1"/>
    <row customHeight="1" ht="12.75" r="203" spans="1:1"/>
    <row customHeight="1" ht="12.75" r="204" spans="1:1"/>
    <row customHeight="1" ht="12.75" r="205" spans="1:1"/>
    <row customHeight="1" ht="12.75" r="206" spans="1:1"/>
    <row customHeight="1" ht="12.75" r="207" spans="1:1"/>
    <row customHeight="1" ht="12.75" r="208" spans="1:1"/>
    <row customHeight="1" ht="12.75" r="209" spans="1:1"/>
    <row customHeight="1" ht="12.75" r="210" spans="1:1"/>
    <row customHeight="1" ht="12.75" r="211" spans="1:1"/>
    <row customHeight="1" ht="12.75" r="212" spans="1:1"/>
    <row customHeight="1" ht="12.75" r="213" spans="1:1"/>
    <row customHeight="1" ht="12.75" r="214" spans="1:1"/>
    <row customHeight="1" ht="12.75" r="215" spans="1:1"/>
    <row customHeight="1" ht="12.75" r="216" spans="1:1"/>
    <row customHeight="1" ht="12.75" r="217" spans="1:1"/>
    <row customHeight="1" ht="12.75" r="218" spans="1:1"/>
    <row customHeight="1" ht="12.75" r="219" spans="1:1"/>
    <row customHeight="1" ht="12.75" r="220" spans="1:1"/>
    <row customHeight="1" ht="12.75" r="221" spans="1:1"/>
    <row customHeight="1" ht="12.75" r="222" spans="1:1"/>
    <row customHeight="1" ht="12.75" r="223" spans="1:1"/>
    <row customHeight="1" ht="12.75" r="224" spans="1:1"/>
    <row customHeight="1" ht="12.75" r="225" spans="1:1"/>
    <row customHeight="1" ht="12.75" r="226" spans="1:1"/>
    <row customHeight="1" ht="12.75" r="227" spans="1:1"/>
    <row customHeight="1" ht="12.75" r="228" spans="1:1"/>
    <row customHeight="1" ht="12.75" r="229" spans="1:1"/>
    <row customHeight="1" ht="12.75" r="230" spans="1:1"/>
    <row customHeight="1" ht="12.75" r="231" spans="1:1"/>
    <row customHeight="1" ht="12.75" r="232" spans="1:1"/>
    <row customHeight="1" ht="12.75" r="233" spans="1:1"/>
    <row customHeight="1" ht="12.75" r="234" spans="1:1"/>
    <row customHeight="1" ht="12.75" r="235" spans="1:1"/>
    <row customHeight="1" ht="12.75" r="236" spans="1:1"/>
    <row customHeight="1" ht="12.75" r="237" spans="1:1"/>
    <row customHeight="1" ht="12.75" r="238" spans="1:1"/>
    <row customHeight="1" ht="12.75" r="239" spans="1:1"/>
    <row customHeight="1" ht="12.75" r="240" spans="1:1"/>
    <row customHeight="1" ht="12.75" r="241" spans="1:1"/>
    <row customHeight="1" ht="12.75" r="242" spans="1:1"/>
    <row customHeight="1" ht="12.75" r="243" spans="1:1"/>
    <row customHeight="1" ht="12.75" r="244" spans="1:1"/>
    <row customHeight="1" ht="12.75" r="245" spans="1:1"/>
    <row customHeight="1" ht="12.75" r="246" spans="1:1"/>
    <row customHeight="1" ht="12.75" r="247" spans="1:1"/>
    <row customHeight="1" ht="12.75" r="248" spans="1:1"/>
    <row customHeight="1" ht="12.75" r="249" spans="1:1"/>
    <row customHeight="1" ht="12.75" r="250" spans="1:1"/>
    <row customHeight="1" ht="12.75" r="251" spans="1:1"/>
    <row customHeight="1" ht="12.75" r="252" spans="1:1"/>
    <row customHeight="1" ht="12.75" r="253" spans="1:1"/>
    <row customHeight="1" ht="12.75" r="254" spans="1:1"/>
    <row customHeight="1" ht="12.75" r="255" spans="1:1"/>
    <row customHeight="1" ht="12.75" r="256" spans="1:1"/>
    <row customHeight="1" ht="12.75" r="257" spans="1:1"/>
    <row customHeight="1" ht="12.75" r="258" spans="1:1"/>
    <row customHeight="1" ht="12.75" r="259" spans="1:1"/>
    <row customHeight="1" ht="12.75" r="260" spans="1:1"/>
    <row customHeight="1" ht="12.75" r="261" spans="1:1"/>
    <row customHeight="1" ht="12.75" r="262" spans="1:1"/>
    <row customHeight="1" ht="12.75" r="263" spans="1:1"/>
    <row customHeight="1" ht="12.75" r="264" spans="1:1"/>
    <row customHeight="1" ht="12.75" r="265" spans="1:1"/>
    <row customHeight="1" ht="12.75" r="266" spans="1:1"/>
    <row customHeight="1" ht="12.75" r="267" spans="1:1"/>
    <row customHeight="1" ht="12.75" r="268" spans="1:1"/>
    <row customHeight="1" ht="12.75" r="269" spans="1:1"/>
    <row customHeight="1" ht="12.75" r="270" spans="1:1"/>
    <row customHeight="1" ht="12.75" r="271" spans="1:1"/>
    <row customHeight="1" ht="12.75" r="272" spans="1:1"/>
    <row customHeight="1" ht="12.75" r="273" spans="1:1"/>
    <row customHeight="1" ht="12.75" r="274" spans="1:1"/>
    <row customHeight="1" ht="12.75" r="275" spans="1:1"/>
    <row customHeight="1" ht="12.75" r="276" spans="1:1"/>
    <row customHeight="1" ht="12.75" r="277" spans="1:1"/>
    <row customHeight="1" ht="12.75" r="278" spans="1:1"/>
    <row customHeight="1" ht="12.75" r="279" spans="1:1"/>
    <row customHeight="1" ht="12.75" r="280" spans="1:1"/>
    <row customHeight="1" ht="12.75" r="281" spans="1:1"/>
    <row customHeight="1" ht="12.75" r="282" spans="1:1"/>
    <row customHeight="1" ht="12.75" r="283" spans="1:1"/>
    <row customHeight="1" ht="12.75" r="284" spans="1:1"/>
    <row customHeight="1" ht="12.75" r="285" spans="1:1"/>
    <row customHeight="1" ht="12.75" r="286" spans="1:1"/>
    <row customHeight="1" ht="12.75" r="287" spans="1:1"/>
    <row customHeight="1" ht="12.75" r="288" spans="1:1"/>
    <row customHeight="1" ht="12.75" r="289" spans="1:1"/>
    <row customHeight="1" ht="12.75" r="290" spans="1:1"/>
    <row customHeight="1" ht="12.75" r="291" spans="1:1"/>
    <row customHeight="1" ht="12.75" r="292" spans="1:1"/>
    <row customHeight="1" ht="12.75" r="293" spans="1:1"/>
    <row customHeight="1" ht="12.75" r="294" spans="1:1"/>
    <row customHeight="1" ht="12.75" r="295" spans="1:1"/>
    <row customHeight="1" ht="12.75" r="296" spans="1:1"/>
    <row customHeight="1" ht="12.75" r="297" spans="1:1"/>
    <row customHeight="1" ht="12.75" r="298" spans="1:1"/>
    <row customHeight="1" ht="12.75" r="299" spans="1:1"/>
    <row customHeight="1" ht="12.75" r="300" spans="1:1"/>
    <row customHeight="1" ht="12.75" r="301" spans="1:1"/>
    <row customHeight="1" ht="12.75" r="302" spans="1:1"/>
    <row customHeight="1" ht="12.75" r="303" spans="1:1"/>
    <row customHeight="1" ht="12.75" r="304" spans="1:1"/>
    <row customHeight="1" ht="12.75" r="305" spans="1:1"/>
    <row customHeight="1" ht="12.75" r="306" spans="1:1"/>
    <row customHeight="1" ht="12.75" r="307" spans="1:1"/>
    <row customHeight="1" ht="12.75" r="308" spans="1:1"/>
    <row customHeight="1" ht="12.75" r="309" spans="1:1"/>
    <row customHeight="1" ht="12.75" r="310" spans="1:1"/>
    <row customHeight="1" ht="12.75" r="311" spans="1:1"/>
    <row customHeight="1" ht="12.75" r="312" spans="1:1"/>
    <row customHeight="1" ht="12.75" r="313" spans="1:1"/>
    <row customHeight="1" ht="12.75" r="314" spans="1:1"/>
    <row customHeight="1" ht="12.75" r="315" spans="1:1"/>
    <row customHeight="1" ht="12.75" r="316" spans="1:1"/>
    <row customHeight="1" ht="12.75" r="317" spans="1:1"/>
    <row customHeight="1" ht="12.75" r="318" spans="1:1"/>
    <row customHeight="1" ht="12.75" r="319" spans="1:1"/>
    <row customHeight="1" ht="12.75" r="320" spans="1:1"/>
    <row customHeight="1" ht="12.75" r="321" spans="1:1"/>
    <row customHeight="1" ht="12.75" r="322" spans="1:1"/>
    <row customHeight="1" ht="12.75" r="323" spans="1:1"/>
    <row customHeight="1" ht="12.75" r="324" spans="1:1"/>
    <row customHeight="1" ht="12.75" r="325" spans="1:1"/>
    <row customHeight="1" ht="12.75" r="326" spans="1:1"/>
    <row customHeight="1" ht="12.75" r="327" spans="1:1"/>
    <row customHeight="1" ht="12.75" r="328" spans="1:1"/>
    <row customHeight="1" ht="12.75" r="329" spans="1:1"/>
    <row customHeight="1" ht="12.75" r="330" spans="1:1"/>
    <row customHeight="1" ht="12.75" r="331" spans="1:1"/>
    <row customHeight="1" ht="12.75" r="332" spans="1:1"/>
    <row customHeight="1" ht="12.75" r="333" spans="1:1"/>
    <row customHeight="1" ht="12.75" r="334" spans="1:1"/>
    <row customHeight="1" ht="12.75" r="335" spans="1:1"/>
    <row customHeight="1" ht="12.75" r="336" spans="1:1"/>
    <row customHeight="1" ht="12.75" r="337" spans="1:1"/>
    <row customHeight="1" ht="12.75" r="338" spans="1:1"/>
    <row customHeight="1" ht="12.75" r="339" spans="1:1"/>
    <row customHeight="1" ht="12.75" r="340" spans="1:1"/>
    <row customHeight="1" ht="12.75" r="341" spans="1:1"/>
    <row customHeight="1" ht="12.75" r="342" spans="1:1"/>
    <row customHeight="1" ht="12.75" r="343" spans="1:1"/>
    <row customHeight="1" ht="12.75" r="344" spans="1:1"/>
    <row customHeight="1" ht="12.75" r="345" spans="1:1"/>
    <row customHeight="1" ht="12.75" r="346" spans="1:1"/>
    <row customHeight="1" ht="12.75" r="347" spans="1:1"/>
    <row customHeight="1" ht="12.75" r="348" spans="1:1"/>
    <row customHeight="1" ht="12.75" r="349" spans="1:1"/>
    <row customHeight="1" ht="12.75" r="350" spans="1:1"/>
    <row customHeight="1" ht="12.75" r="351" spans="1:1"/>
    <row customHeight="1" ht="12.75" r="352" spans="1:1"/>
    <row customHeight="1" ht="12.75" r="353" spans="1:1"/>
    <row customHeight="1" ht="12.75" r="354" spans="1:1"/>
    <row customHeight="1" ht="12.75" r="355" spans="1:1"/>
    <row customHeight="1" ht="12.75" r="356" spans="1:1"/>
    <row customHeight="1" ht="12.75" r="357" spans="1:1"/>
    <row customHeight="1" ht="12.75" r="358" spans="1:1"/>
    <row customHeight="1" ht="12.75" r="359" spans="1:1"/>
    <row customHeight="1" ht="12.75" r="360" spans="1:1"/>
    <row customHeight="1" ht="12.75" r="361" spans="1:1"/>
    <row customHeight="1" ht="12.75" r="362" spans="1:1"/>
    <row customHeight="1" ht="12.75" r="363" spans="1:1"/>
    <row customHeight="1" ht="12.75" r="364" spans="1:1"/>
    <row customHeight="1" ht="12.75" r="365" spans="1:1"/>
    <row customHeight="1" ht="12.75" r="366" spans="1:1"/>
    <row customHeight="1" ht="12.75" r="367" spans="1:1"/>
    <row customHeight="1" ht="12.75" r="368" spans="1:1"/>
    <row customHeight="1" ht="12.75" r="369" spans="1:1"/>
    <row customHeight="1" ht="12.75" r="370" spans="1:1"/>
    <row customHeight="1" ht="12.75" r="371" spans="1:1"/>
    <row customHeight="1" ht="12.75" r="372" spans="1:1"/>
    <row customHeight="1" ht="12.75" r="373" spans="1:1"/>
    <row customHeight="1" ht="12.75" r="374" spans="1:1"/>
    <row customHeight="1" ht="12.75" r="375" spans="1:1"/>
    <row customHeight="1" ht="12.75" r="376" spans="1:1"/>
    <row customHeight="1" ht="12.75" r="377" spans="1:1"/>
    <row customHeight="1" ht="12.75" r="378" spans="1:1"/>
    <row customHeight="1" ht="12.75" r="379" spans="1:1"/>
    <row customHeight="1" ht="12.75" r="380" spans="1:1"/>
    <row customHeight="1" ht="12.75" r="381" spans="1:1"/>
    <row customHeight="1" ht="12.75" r="382" spans="1:1"/>
    <row customHeight="1" ht="12.75" r="383" spans="1:1"/>
    <row customHeight="1" ht="12.75" r="384" spans="1:1"/>
    <row customHeight="1" ht="12.75" r="385" spans="1:1"/>
    <row customHeight="1" ht="12.75" r="386" spans="1:1"/>
    <row customHeight="1" ht="12.75" r="387" spans="1:1"/>
    <row customHeight="1" ht="12.75" r="388" spans="1:1"/>
    <row customHeight="1" ht="12.75" r="389" spans="1:1"/>
    <row customHeight="1" ht="12.75" r="390" spans="1:1"/>
    <row customHeight="1" ht="12.75" r="391" spans="1:1"/>
    <row customHeight="1" ht="12.75" r="392" spans="1:1"/>
    <row customHeight="1" ht="12.75" r="393" spans="1:1"/>
    <row customHeight="1" ht="12.75" r="394" spans="1:1"/>
    <row customHeight="1" ht="12.75" r="395" spans="1:1"/>
    <row customHeight="1" ht="12.75" r="396" spans="1:1"/>
    <row customHeight="1" ht="12.75" r="397" spans="1:1"/>
    <row customHeight="1" ht="12.75" r="398" spans="1:1"/>
    <row customHeight="1" ht="12.75" r="399" spans="1:1"/>
    <row customHeight="1" ht="12.75" r="400" spans="1:1"/>
    <row customHeight="1" ht="12.75" r="401" spans="1:1"/>
    <row customHeight="1" ht="12.75" r="402" spans="1:1"/>
    <row customHeight="1" ht="12.75" r="403" spans="1:1"/>
    <row customHeight="1" ht="12.75" r="404" spans="1:1"/>
    <row customHeight="1" ht="12.75" r="405" spans="1:1"/>
    <row customHeight="1" ht="12.75" r="406" spans="1:1"/>
    <row customHeight="1" ht="12.75" r="407" spans="1:1"/>
    <row customHeight="1" ht="12.75" r="408" spans="1:1"/>
    <row customHeight="1" ht="12.75" r="409" spans="1:1"/>
    <row customHeight="1" ht="12.75" r="410" spans="1:1"/>
    <row customHeight="1" ht="12.75" r="411" spans="1:1"/>
    <row customHeight="1" ht="12.75" r="412" spans="1:1"/>
    <row customHeight="1" ht="12.75" r="413" spans="1:1"/>
    <row customHeight="1" ht="12.75" r="414" spans="1:1"/>
    <row customHeight="1" ht="12.75" r="415" spans="1:1"/>
    <row customHeight="1" ht="12.75" r="416" spans="1:1"/>
    <row customHeight="1" ht="12.75" r="417" spans="1:1"/>
    <row customHeight="1" ht="12.75" r="418" spans="1:1"/>
    <row customHeight="1" ht="12.75" r="419" spans="1:1"/>
    <row customHeight="1" ht="12.75" r="420" spans="1:1"/>
    <row customHeight="1" ht="12.75" r="421" spans="1:1"/>
    <row customHeight="1" ht="12.75" r="422" spans="1:1"/>
    <row customHeight="1" ht="12.75" r="423" spans="1:1"/>
    <row customHeight="1" ht="12.75" r="424" spans="1:1"/>
    <row customHeight="1" ht="12.75" r="425" spans="1:1"/>
    <row customHeight="1" ht="12.75" r="426" spans="1:1"/>
    <row customHeight="1" ht="12.75" r="427" spans="1:1"/>
    <row customHeight="1" ht="12.75" r="428" spans="1:1"/>
    <row customHeight="1" ht="12.75" r="429" spans="1:1"/>
    <row customHeight="1" ht="12.75" r="430" spans="1:1"/>
    <row customHeight="1" ht="12.75" r="431" spans="1:1"/>
    <row customHeight="1" ht="12.75" r="432" spans="1:1"/>
    <row customHeight="1" ht="12.75" r="433" spans="1:1"/>
    <row customHeight="1" ht="12.75" r="434" spans="1:1"/>
    <row customHeight="1" ht="12.75" r="435" spans="1:1"/>
    <row customHeight="1" ht="12.75" r="436" spans="1:1"/>
    <row customHeight="1" ht="12.75" r="437" spans="1:1"/>
    <row customHeight="1" ht="12.75" r="438" spans="1:1"/>
    <row customHeight="1" ht="12.75" r="439" spans="1:1"/>
    <row customHeight="1" ht="12.75" r="440" spans="1:1"/>
    <row customHeight="1" ht="12.75" r="441" spans="1:1"/>
    <row customHeight="1" ht="12.75" r="442" spans="1:1"/>
    <row customHeight="1" ht="12.75" r="443" spans="1:1"/>
    <row customHeight="1" ht="12.75" r="444" spans="1:1"/>
    <row customHeight="1" ht="12.75" r="445" spans="1:1"/>
    <row customHeight="1" ht="12.75" r="446" spans="1:1"/>
    <row customHeight="1" ht="12.75" r="447" spans="1:1"/>
    <row customHeight="1" ht="12.75" r="448" spans="1:1"/>
    <row customHeight="1" ht="12.75" r="449" spans="1:1"/>
    <row customHeight="1" ht="12.75" r="450" spans="1:1"/>
    <row customHeight="1" ht="12.75" r="451" spans="1:1"/>
    <row customHeight="1" ht="12.75" r="452" spans="1:1"/>
    <row customHeight="1" ht="12.75" r="453" spans="1:1"/>
    <row customHeight="1" ht="12.75" r="454" spans="1:1"/>
    <row customHeight="1" ht="12.75" r="455" spans="1:1"/>
    <row customHeight="1" ht="12.75" r="456" spans="1:1"/>
    <row customHeight="1" ht="12.75" r="457" spans="1:1"/>
    <row customHeight="1" ht="12.75" r="458" spans="1:1"/>
    <row customHeight="1" ht="12.75" r="459" spans="1:1"/>
    <row customHeight="1" ht="12.75" r="460" spans="1:1"/>
    <row customHeight="1" ht="12.75" r="461" spans="1:1"/>
    <row customHeight="1" ht="12.75" r="462" spans="1:1"/>
    <row customHeight="1" ht="12.75" r="463" spans="1:1"/>
    <row customHeight="1" ht="12.75" r="464" spans="1:1"/>
    <row customHeight="1" ht="12.75" r="465" spans="1:1"/>
    <row customHeight="1" ht="12.75" r="466" spans="1:1"/>
    <row customHeight="1" ht="12.75" r="467" spans="1:1"/>
    <row customHeight="1" ht="12.75" r="468" spans="1:1"/>
    <row customHeight="1" ht="12.75" r="469" spans="1:1"/>
    <row customHeight="1" ht="12.75" r="470" spans="1:1"/>
    <row customHeight="1" ht="12.75" r="471" spans="1:1"/>
    <row customHeight="1" ht="12.75" r="472" spans="1:1"/>
    <row customHeight="1" ht="12.75" r="473" spans="1:1"/>
    <row customHeight="1" ht="12.75" r="474" spans="1:1"/>
    <row customHeight="1" ht="12.75" r="475" spans="1:1"/>
    <row customHeight="1" ht="12.75" r="476" spans="1:1"/>
    <row customHeight="1" ht="12.75" r="477" spans="1:1"/>
    <row customHeight="1" ht="12.75" r="478" spans="1:1"/>
    <row customHeight="1" ht="12.75" r="479" spans="1:1"/>
    <row customHeight="1" ht="12.75" r="480" spans="1:1"/>
    <row customHeight="1" ht="12.75" r="481" spans="1:1"/>
    <row customHeight="1" ht="12.75" r="482" spans="1:1"/>
    <row customHeight="1" ht="12.75" r="483" spans="1:1"/>
    <row customHeight="1" ht="12.75" r="484" spans="1:1"/>
    <row customHeight="1" ht="12.75" r="485" spans="1:1"/>
    <row customHeight="1" ht="12.75" r="486" spans="1:1"/>
    <row customHeight="1" ht="12.75" r="487" spans="1:1"/>
    <row customHeight="1" ht="12.75" r="488" spans="1:1"/>
    <row customHeight="1" ht="12.75" r="489" spans="1:1"/>
    <row customHeight="1" ht="12.75" r="490" spans="1:1"/>
    <row customHeight="1" ht="12.75" r="491" spans="1:1"/>
    <row customHeight="1" ht="12.75" r="492" spans="1:1"/>
    <row customHeight="1" ht="12.75" r="493" spans="1:1"/>
    <row customHeight="1" ht="12.75" r="494" spans="1:1"/>
    <row customHeight="1" ht="12.75" r="495" spans="1:1"/>
    <row customHeight="1" ht="12.75" r="496" spans="1:1"/>
    <row customHeight="1" ht="12.75" r="497" spans="1:1"/>
    <row customHeight="1" ht="12.75" r="498" spans="1:1"/>
    <row customHeight="1" ht="12.75" r="499" spans="1:1"/>
    <row customHeight="1" ht="12.75" r="500" spans="1:1"/>
    <row customHeight="1" ht="12.75" r="501" spans="1:1"/>
    <row customHeight="1" ht="12.75" r="502" spans="1:1"/>
    <row customHeight="1" ht="12.75" r="503" spans="1:1"/>
    <row customHeight="1" ht="12.75" r="504" spans="1:1"/>
    <row customHeight="1" ht="12.75" r="505" spans="1:1"/>
    <row customHeight="1" ht="12.75" r="506" spans="1:1"/>
    <row customHeight="1" ht="12.75" r="507" spans="1:1"/>
    <row customHeight="1" ht="12.75" r="508" spans="1:1"/>
    <row customHeight="1" ht="12.75" r="509" spans="1:1"/>
    <row customHeight="1" ht="12.75" r="510" spans="1:1"/>
    <row customHeight="1" ht="12.75" r="511" spans="1:1"/>
    <row customHeight="1" ht="12.75" r="512" spans="1:1"/>
    <row customHeight="1" ht="12.75" r="513" spans="1:1"/>
    <row customHeight="1" ht="12.75" r="514" spans="1:1"/>
    <row customHeight="1" ht="12.75" r="515" spans="1:1"/>
    <row customHeight="1" ht="12.75" r="516" spans="1:1"/>
    <row customHeight="1" ht="12.75" r="517" spans="1:1"/>
    <row customHeight="1" ht="12.75" r="518" spans="1:1"/>
    <row customHeight="1" ht="12.75" r="519" spans="1:1"/>
    <row customHeight="1" ht="12.75" r="520" spans="1:1"/>
    <row customHeight="1" ht="12.75" r="521" spans="1:1"/>
    <row customHeight="1" ht="12.75" r="522" spans="1:1"/>
    <row customHeight="1" ht="12.75" r="523" spans="1:1"/>
    <row customHeight="1" ht="12.75" r="524" spans="1:1"/>
    <row customHeight="1" ht="12.75" r="525" spans="1:1"/>
    <row customHeight="1" ht="12.75" r="526" spans="1:1"/>
    <row customHeight="1" ht="12.75" r="527" spans="1:1"/>
    <row customHeight="1" ht="12.75" r="528" spans="1:1"/>
    <row customHeight="1" ht="12.75" r="529" spans="1:1"/>
    <row customHeight="1" ht="12.75" r="530" spans="1:1"/>
    <row customHeight="1" ht="12.75" r="531" spans="1:1"/>
    <row customHeight="1" ht="12.75" r="532" spans="1:1"/>
    <row customHeight="1" ht="12.75" r="533" spans="1:1"/>
    <row customHeight="1" ht="12.75" r="534" spans="1:1"/>
    <row customHeight="1" ht="12.75" r="535" spans="1:1"/>
    <row customHeight="1" ht="12.75" r="536" spans="1:1"/>
    <row customHeight="1" ht="12.75" r="537" spans="1:1"/>
    <row customHeight="1" ht="12.75" r="538" spans="1:1"/>
    <row customHeight="1" ht="12.75" r="539" spans="1:1"/>
    <row customHeight="1" ht="12.75" r="540" spans="1:1"/>
    <row customHeight="1" ht="12.75" r="541" spans="1:1"/>
    <row customHeight="1" ht="12.75" r="542" spans="1:1"/>
    <row customHeight="1" ht="12.75" r="543" spans="1:1"/>
    <row customHeight="1" ht="12.75" r="544" spans="1:1"/>
    <row customHeight="1" ht="12.75" r="545" spans="1:1"/>
    <row customHeight="1" ht="12.75" r="546" spans="1:1"/>
    <row customHeight="1" ht="12.75" r="547" spans="1:1"/>
    <row customHeight="1" ht="12.75" r="548" spans="1:1"/>
    <row customHeight="1" ht="12.75" r="549" spans="1:1"/>
    <row customHeight="1" ht="12.75" r="550" spans="1:1"/>
    <row customHeight="1" ht="12.75" r="551" spans="1:1"/>
    <row customHeight="1" ht="12.75" r="552" spans="1:1"/>
    <row customHeight="1" ht="12.75" r="553" spans="1:1"/>
    <row customHeight="1" ht="12.75" r="554" spans="1:1"/>
    <row customHeight="1" ht="12.75" r="555" spans="1:1"/>
    <row customHeight="1" ht="12.75" r="556" spans="1:1"/>
    <row customHeight="1" ht="12.75" r="557" spans="1:1"/>
    <row customHeight="1" ht="12.75" r="558" spans="1:1"/>
    <row customHeight="1" ht="12.75" r="559" spans="1:1"/>
    <row customHeight="1" ht="12.75" r="560" spans="1:1"/>
    <row customHeight="1" ht="12.75" r="561" spans="1:1"/>
    <row customHeight="1" ht="12.75" r="562" spans="1:1"/>
    <row customHeight="1" ht="12.75" r="563" spans="1:1"/>
    <row customHeight="1" ht="12.75" r="564" spans="1:1"/>
    <row customHeight="1" ht="12.75" r="565" spans="1:1"/>
    <row customHeight="1" ht="12.75" r="566" spans="1:1"/>
    <row customHeight="1" ht="12.75" r="567" spans="1:1"/>
    <row customHeight="1" ht="12.75" r="568" spans="1:1"/>
    <row customHeight="1" ht="12.75" r="569" spans="1:1"/>
    <row customHeight="1" ht="12.75" r="570" spans="1:1"/>
    <row customHeight="1" ht="12.75" r="571" spans="1:1"/>
    <row customHeight="1" ht="12.75" r="572" spans="1:1"/>
    <row customHeight="1" ht="12.75" r="573" spans="1:1"/>
    <row customHeight="1" ht="12.75" r="574" spans="1:1"/>
    <row customHeight="1" ht="12.75" r="575" spans="1:1"/>
    <row customHeight="1" ht="12.75" r="576" spans="1:1"/>
    <row customHeight="1" ht="12.75" r="577" spans="1:1"/>
    <row customHeight="1" ht="12.75" r="578" spans="1:1"/>
    <row customHeight="1" ht="12.75" r="579" spans="1:1"/>
    <row customHeight="1" ht="12.75" r="580" spans="1:1"/>
    <row customHeight="1" ht="12.75" r="581" spans="1:1"/>
    <row customHeight="1" ht="12.75" r="582" spans="1:1"/>
    <row customHeight="1" ht="12.75" r="583" spans="1:1"/>
    <row customHeight="1" ht="12.75" r="584" spans="1:1"/>
    <row customHeight="1" ht="12.75" r="585" spans="1:1"/>
    <row customHeight="1" ht="12.75" r="586" spans="1:1"/>
    <row customHeight="1" ht="12.75" r="587" spans="1:1"/>
    <row customHeight="1" ht="12.75" r="588" spans="1:1"/>
    <row customHeight="1" ht="12.75" r="589" spans="1:1"/>
    <row customHeight="1" ht="12.75" r="590" spans="1:1"/>
    <row customHeight="1" ht="12.75" r="591" spans="1:1"/>
    <row customHeight="1" ht="12.75" r="592" spans="1:1"/>
    <row customHeight="1" ht="12.75" r="593" spans="1:1"/>
    <row customHeight="1" ht="12.75" r="594" spans="1:1"/>
    <row customHeight="1" ht="12.75" r="595" spans="1:1"/>
    <row customHeight="1" ht="12.75" r="596" spans="1:1"/>
    <row customHeight="1" ht="12.75" r="597" spans="1:1"/>
    <row customHeight="1" ht="12.75" r="598" spans="1:1"/>
    <row customHeight="1" ht="12.75" r="599" spans="1:1"/>
    <row customHeight="1" ht="12.75" r="600" spans="1:1"/>
    <row customHeight="1" ht="12.75" r="601" spans="1:1"/>
    <row customHeight="1" ht="12.75" r="602" spans="1:1"/>
    <row customHeight="1" ht="12.75" r="603" spans="1:1"/>
    <row customHeight="1" ht="12.75" r="604" spans="1:1"/>
    <row customHeight="1" ht="12.75" r="605" spans="1:1"/>
    <row customHeight="1" ht="12.75" r="606" spans="1:1"/>
    <row customHeight="1" ht="12.75" r="607" spans="1:1"/>
    <row customHeight="1" ht="12.75" r="608" spans="1:1"/>
    <row customHeight="1" ht="12.75" r="609" spans="1:1"/>
    <row customHeight="1" ht="12.75" r="610" spans="1:1"/>
    <row customHeight="1" ht="12.75" r="611" spans="1:1"/>
    <row customHeight="1" ht="12.75" r="612" spans="1:1"/>
    <row customHeight="1" ht="12.75" r="613" spans="1:1"/>
    <row customHeight="1" ht="12.75" r="614" spans="1:1"/>
    <row customHeight="1" ht="12.75" r="615" spans="1:1"/>
    <row customHeight="1" ht="12.75" r="616" spans="1:1"/>
    <row customHeight="1" ht="12.75" r="617" spans="1:1"/>
    <row customHeight="1" ht="12.75" r="618" spans="1:1"/>
    <row customHeight="1" ht="12.75" r="619" spans="1:1"/>
    <row customHeight="1" ht="12.75" r="620" spans="1:1"/>
    <row customHeight="1" ht="12.75" r="621" spans="1:1"/>
    <row customHeight="1" ht="12.75" r="622" spans="1:1"/>
    <row customHeight="1" ht="12.75" r="623" spans="1:1"/>
    <row customHeight="1" ht="12.75" r="624" spans="1:1"/>
    <row customHeight="1" ht="12.75" r="625" spans="1:1"/>
    <row customHeight="1" ht="12.75" r="626" spans="1:1"/>
    <row customHeight="1" ht="12.75" r="627" spans="1:1"/>
    <row customHeight="1" ht="12.75" r="628" spans="1:1"/>
    <row customHeight="1" ht="12.75" r="629" spans="1:1"/>
    <row customHeight="1" ht="12.75" r="630" spans="1:1"/>
    <row customHeight="1" ht="12.75" r="631" spans="1:1"/>
    <row customHeight="1" ht="12.75" r="632" spans="1:1"/>
    <row customHeight="1" ht="12.75" r="633" spans="1:1"/>
    <row customHeight="1" ht="12.75" r="634" spans="1:1"/>
    <row customHeight="1" ht="12.75" r="635" spans="1:1"/>
    <row customHeight="1" ht="12.75" r="636" spans="1:1"/>
    <row customHeight="1" ht="12.75" r="637" spans="1:1"/>
    <row customHeight="1" ht="12.75" r="638" spans="1:1"/>
    <row customHeight="1" ht="12.75" r="639" spans="1:1"/>
    <row customHeight="1" ht="12.75" r="640" spans="1:1"/>
    <row customHeight="1" ht="12.75" r="641" spans="1:1"/>
    <row customHeight="1" ht="12.75" r="642" spans="1:1"/>
    <row customHeight="1" ht="12.75" r="643" spans="1:1"/>
    <row customHeight="1" ht="12.75" r="644" spans="1:1"/>
    <row customHeight="1" ht="12.75" r="645" spans="1:1"/>
    <row customHeight="1" ht="12.75" r="646" spans="1:1"/>
    <row customHeight="1" ht="12.75" r="647" spans="1:1"/>
    <row customHeight="1" ht="12.75" r="648" spans="1:1"/>
    <row customHeight="1" ht="12.75" r="649" spans="1:1"/>
    <row customHeight="1" ht="12.75" r="650" spans="1:1"/>
    <row customHeight="1" ht="12.75" r="651" spans="1:1"/>
    <row customHeight="1" ht="12.75" r="652" spans="1:1"/>
    <row customHeight="1" ht="12.75" r="653" spans="1:1"/>
    <row customHeight="1" ht="12.75" r="654" spans="1:1"/>
    <row customHeight="1" ht="12.75" r="655" spans="1:1"/>
    <row customHeight="1" ht="12.75" r="656" spans="1:1"/>
    <row customHeight="1" ht="12.75" r="657" spans="1:1"/>
    <row customHeight="1" ht="12.75" r="658" spans="1:1"/>
    <row customHeight="1" ht="12.75" r="659" spans="1:1"/>
    <row customHeight="1" ht="12.75" r="660" spans="1:1"/>
    <row customHeight="1" ht="12.75" r="661" spans="1:1"/>
    <row customHeight="1" ht="12.75" r="662" spans="1:1"/>
    <row customHeight="1" ht="12.75" r="663" spans="1:1"/>
    <row customHeight="1" ht="12.75" r="664" spans="1:1"/>
    <row customHeight="1" ht="12.75" r="665" spans="1:1"/>
    <row customHeight="1" ht="12.75" r="666" spans="1:1"/>
    <row customHeight="1" ht="12.75" r="667" spans="1:1"/>
    <row customHeight="1" ht="12.75" r="668" spans="1:1"/>
    <row customHeight="1" ht="12.75" r="669" spans="1:1"/>
    <row customHeight="1" ht="12.75" r="670" spans="1:1"/>
    <row customHeight="1" ht="12.75" r="671" spans="1:1"/>
    <row customHeight="1" ht="12.75" r="672" spans="1:1"/>
    <row customHeight="1" ht="12.75" r="673" spans="1:1"/>
    <row customHeight="1" ht="12.75" r="674" spans="1:1"/>
    <row customHeight="1" ht="12.75" r="675" spans="1:1"/>
    <row customHeight="1" ht="12.75" r="676" spans="1:1"/>
    <row customHeight="1" ht="12.75" r="677" spans="1:1"/>
    <row customHeight="1" ht="12.75" r="678" spans="1:1"/>
    <row customHeight="1" ht="12.75" r="679" spans="1:1"/>
    <row customHeight="1" ht="12.75" r="680" spans="1:1"/>
    <row customHeight="1" ht="12.75" r="681" spans="1:1"/>
    <row customHeight="1" ht="12.75" r="682" spans="1:1"/>
    <row customHeight="1" ht="12.75" r="683" spans="1:1"/>
    <row customHeight="1" ht="12.75" r="684" spans="1:1"/>
    <row customHeight="1" ht="12.75" r="685" spans="1:1"/>
    <row customHeight="1" ht="12.75" r="686" spans="1:1"/>
    <row customHeight="1" ht="12.75" r="687" spans="1:1"/>
    <row customHeight="1" ht="12.75" r="688" spans="1:1"/>
    <row customHeight="1" ht="12.75" r="689" spans="1:1"/>
    <row customHeight="1" ht="12.75" r="690" spans="1:1"/>
    <row customHeight="1" ht="12.75" r="691" spans="1:1"/>
    <row customHeight="1" ht="12.75" r="692" spans="1:1"/>
    <row customHeight="1" ht="12.75" r="693" spans="1:1"/>
    <row customHeight="1" ht="12.75" r="694" spans="1:1"/>
    <row customHeight="1" ht="12.75" r="695" spans="1:1"/>
    <row customHeight="1" ht="12.75" r="696" spans="1:1"/>
    <row customHeight="1" ht="12.75" r="697" spans="1:1"/>
    <row customHeight="1" ht="12.75" r="698" spans="1:1"/>
    <row customHeight="1" ht="12.75" r="699" spans="1:1"/>
    <row customHeight="1" ht="12.75" r="700" spans="1:1"/>
    <row customHeight="1" ht="12.75" r="701" spans="1:1"/>
    <row customHeight="1" ht="12.75" r="702" spans="1:1"/>
    <row customHeight="1" ht="12.75" r="703" spans="1:1"/>
    <row customHeight="1" ht="12.75" r="704" spans="1:1"/>
    <row customHeight="1" ht="12.75" r="705" spans="1:1"/>
    <row customHeight="1" ht="12.75" r="706" spans="1:1"/>
    <row customHeight="1" ht="12.75" r="707" spans="1:1"/>
    <row customHeight="1" ht="12.75" r="708" spans="1:1"/>
    <row customHeight="1" ht="12.75" r="709" spans="1:1"/>
    <row customHeight="1" ht="12.75" r="710" spans="1:1"/>
    <row customHeight="1" ht="12.75" r="711" spans="1:1"/>
    <row customHeight="1" ht="12.75" r="712" spans="1:1"/>
    <row customHeight="1" ht="12.75" r="713" spans="1:1"/>
    <row customHeight="1" ht="12.75" r="714" spans="1:1"/>
    <row customHeight="1" ht="12.75" r="715" spans="1:1"/>
    <row customHeight="1" ht="12.75" r="716" spans="1:1"/>
    <row customHeight="1" ht="12.75" r="717" spans="1:1"/>
    <row customHeight="1" ht="12.75" r="718" spans="1:1"/>
    <row customHeight="1" ht="12.75" r="719" spans="1:1"/>
    <row customHeight="1" ht="12.75" r="720" spans="1:1"/>
    <row customHeight="1" ht="12.75" r="721" spans="1:1"/>
    <row customHeight="1" ht="12.75" r="722" spans="1:1"/>
    <row customHeight="1" ht="12.75" r="723" spans="1:1"/>
    <row customHeight="1" ht="12.75" r="724" spans="1:1"/>
    <row customHeight="1" ht="12.75" r="725" spans="1:1"/>
    <row customHeight="1" ht="12.75" r="726" spans="1:1"/>
    <row customHeight="1" ht="12.75" r="727" spans="1:1"/>
    <row customHeight="1" ht="12.75" r="728" spans="1:1"/>
    <row customHeight="1" ht="12.75" r="729" spans="1:1"/>
    <row customHeight="1" ht="12.75" r="730" spans="1:1"/>
    <row customHeight="1" ht="12.75" r="731" spans="1:1"/>
    <row customHeight="1" ht="12.75" r="732" spans="1:1"/>
    <row customHeight="1" ht="12.75" r="733" spans="1:1"/>
    <row customHeight="1" ht="12.75" r="734" spans="1:1"/>
    <row customHeight="1" ht="12.75" r="735" spans="1:1"/>
    <row customHeight="1" ht="12.75" r="736" spans="1:1"/>
    <row customHeight="1" ht="12.75" r="737" spans="1:1"/>
    <row customHeight="1" ht="12.75" r="738" spans="1:1"/>
    <row customHeight="1" ht="12.75" r="739" spans="1:1"/>
    <row customHeight="1" ht="12.75" r="740" spans="1:1"/>
    <row customHeight="1" ht="12.75" r="741" spans="1:1"/>
    <row customHeight="1" ht="12.75" r="742" spans="1:1"/>
    <row customHeight="1" ht="12.75" r="743" spans="1:1"/>
    <row customHeight="1" ht="12.75" r="744" spans="1:1"/>
    <row customHeight="1" ht="12.75" r="745" spans="1:1"/>
    <row customHeight="1" ht="12.75" r="746" spans="1:1"/>
    <row customHeight="1" ht="12.75" r="747" spans="1:1"/>
    <row customHeight="1" ht="12.75" r="748" spans="1:1"/>
    <row customHeight="1" ht="12.75" r="749" spans="1:1"/>
    <row customHeight="1" ht="12.75" r="750" spans="1:1"/>
    <row customHeight="1" ht="12.75" r="751" spans="1:1"/>
    <row customHeight="1" ht="12.75" r="752" spans="1:1"/>
    <row customHeight="1" ht="12.75" r="753" spans="1:1"/>
    <row customHeight="1" ht="12.75" r="754" spans="1:1"/>
    <row customHeight="1" ht="12.75" r="755" spans="1:1"/>
    <row customHeight="1" ht="12.75" r="756" spans="1:1"/>
    <row customHeight="1" ht="12.75" r="757" spans="1:1"/>
    <row customHeight="1" ht="12.75" r="758" spans="1:1"/>
    <row customHeight="1" ht="12.75" r="759" spans="1:1"/>
    <row customHeight="1" ht="12.75" r="760" spans="1:1"/>
    <row customHeight="1" ht="12.75" r="761" spans="1:1"/>
    <row customHeight="1" ht="12.75" r="762" spans="1:1"/>
    <row customHeight="1" ht="12.75" r="763" spans="1:1"/>
    <row customHeight="1" ht="12.75" r="764" spans="1:1"/>
    <row customHeight="1" ht="12.75" r="765" spans="1:1"/>
    <row customHeight="1" ht="12.75" r="766" spans="1:1"/>
    <row customHeight="1" ht="12.75" r="767" spans="1:1"/>
    <row customHeight="1" ht="12.75" r="768" spans="1:1"/>
    <row customHeight="1" ht="12.75" r="769" spans="1:1"/>
    <row customHeight="1" ht="12.75" r="770" spans="1:1"/>
    <row customHeight="1" ht="12.75" r="771" spans="1:1"/>
    <row customHeight="1" ht="12.75" r="772" spans="1:1"/>
    <row customHeight="1" ht="12.75" r="773" spans="1:1"/>
    <row customHeight="1" ht="12.75" r="774" spans="1:1"/>
    <row customHeight="1" ht="12.75" r="775" spans="1:1"/>
    <row customHeight="1" ht="12.75" r="776" spans="1:1"/>
    <row customHeight="1" ht="12.75" r="777" spans="1:1"/>
    <row customHeight="1" ht="12.75" r="778" spans="1:1"/>
    <row customHeight="1" ht="12.75" r="779" spans="1:1"/>
    <row customHeight="1" ht="12.75" r="780" spans="1:1"/>
    <row customHeight="1" ht="12.75" r="781" spans="1:1"/>
    <row customHeight="1" ht="12.75" r="782" spans="1:1"/>
    <row customHeight="1" ht="12.75" r="783" spans="1:1"/>
    <row customHeight="1" ht="12.75" r="784" spans="1:1"/>
    <row customHeight="1" ht="12.75" r="785" spans="1:1"/>
    <row customHeight="1" ht="12.75" r="786" spans="1:1"/>
    <row customHeight="1" ht="12.75" r="787" spans="1:1"/>
    <row customHeight="1" ht="12.75" r="788" spans="1:1"/>
    <row customHeight="1" ht="12.75" r="789" spans="1:1"/>
    <row customHeight="1" ht="12.75" r="790" spans="1:1"/>
    <row customHeight="1" ht="12.75" r="791" spans="1:1"/>
    <row customHeight="1" ht="12.75" r="792" spans="1:1"/>
    <row customHeight="1" ht="12.75" r="793" spans="1:1"/>
    <row customHeight="1" ht="12.75" r="794" spans="1:1"/>
    <row customHeight="1" ht="12.75" r="795" spans="1:1"/>
    <row customHeight="1" ht="12.75" r="796" spans="1:1"/>
    <row customHeight="1" ht="12.75" r="797" spans="1:1"/>
    <row customHeight="1" ht="12.75" r="798" spans="1:1"/>
    <row customHeight="1" ht="12.75" r="799" spans="1:1"/>
    <row customHeight="1" ht="12.75" r="800" spans="1:1"/>
    <row customHeight="1" ht="12.75" r="801" spans="1:1"/>
    <row customHeight="1" ht="12.75" r="802" spans="1:1"/>
    <row customHeight="1" ht="12.75" r="803" spans="1:1"/>
    <row customHeight="1" ht="12.75" r="804" spans="1:1"/>
    <row customHeight="1" ht="12.75" r="805" spans="1:1"/>
    <row customHeight="1" ht="12.75" r="806" spans="1:1"/>
    <row customHeight="1" ht="12.75" r="807" spans="1:1"/>
    <row customHeight="1" ht="12.75" r="808" spans="1:1"/>
    <row customHeight="1" ht="12.75" r="809" spans="1:1"/>
    <row customHeight="1" ht="12.75" r="810" spans="1:1"/>
    <row customHeight="1" ht="12.75" r="811" spans="1:1"/>
    <row customHeight="1" ht="12.75" r="812" spans="1:1"/>
    <row customHeight="1" ht="12.75" r="813" spans="1:1"/>
    <row customHeight="1" ht="12.75" r="814" spans="1:1"/>
    <row customHeight="1" ht="12.75" r="815" spans="1:1"/>
    <row customHeight="1" ht="12.75" r="816" spans="1:1"/>
    <row customHeight="1" ht="12.75" r="817" spans="1:1"/>
    <row customHeight="1" ht="12.75" r="818" spans="1:1"/>
    <row customHeight="1" ht="12.75" r="819" spans="1:1"/>
    <row customHeight="1" ht="12.75" r="820" spans="1:1"/>
    <row customHeight="1" ht="12.75" r="821" spans="1:1"/>
    <row customHeight="1" ht="12.75" r="822" spans="1:1"/>
    <row customHeight="1" ht="12.75" r="823" spans="1:1"/>
    <row customHeight="1" ht="12.75" r="824" spans="1:1"/>
    <row customHeight="1" ht="12.75" r="825" spans="1:1"/>
    <row customHeight="1" ht="12.75" r="826" spans="1:1"/>
    <row customHeight="1" ht="12.75" r="827" spans="1:1"/>
    <row customHeight="1" ht="12.75" r="828" spans="1:1"/>
    <row customHeight="1" ht="12.75" r="829" spans="1:1"/>
    <row customHeight="1" ht="12.75" r="830" spans="1:1"/>
    <row customHeight="1" ht="12.75" r="831" spans="1:1"/>
    <row customHeight="1" ht="12.75" r="832" spans="1:1"/>
    <row customHeight="1" ht="12.75" r="833" spans="1:1"/>
    <row customHeight="1" ht="12.75" r="834" spans="1:1"/>
    <row customHeight="1" ht="12.75" r="835" spans="1:1"/>
    <row customHeight="1" ht="12.75" r="836" spans="1:1"/>
    <row customHeight="1" ht="12.75" r="837" spans="1:1"/>
    <row customHeight="1" ht="12.75" r="838" spans="1:1"/>
    <row customHeight="1" ht="12.75" r="839" spans="1:1"/>
    <row customHeight="1" ht="12.75" r="840" spans="1:1"/>
    <row customHeight="1" ht="12.75" r="841" spans="1:1"/>
    <row customHeight="1" ht="12.75" r="842" spans="1:1"/>
    <row customHeight="1" ht="12.75" r="843" spans="1:1"/>
    <row customHeight="1" ht="12.75" r="844" spans="1:1"/>
    <row customHeight="1" ht="12.75" r="845" spans="1:1"/>
    <row customHeight="1" ht="12.75" r="846" spans="1:1"/>
    <row customHeight="1" ht="12.75" r="847" spans="1:1"/>
    <row customHeight="1" ht="12.75" r="848" spans="1:1"/>
    <row customHeight="1" ht="12.75" r="849" spans="1:1"/>
    <row customHeight="1" ht="12.75" r="850" spans="1:1"/>
    <row customHeight="1" ht="12.75" r="851" spans="1:1"/>
    <row customHeight="1" ht="12.75" r="852" spans="1:1"/>
    <row customHeight="1" ht="12.75" r="853" spans="1:1"/>
    <row customHeight="1" ht="12.75" r="854" spans="1:1"/>
    <row customHeight="1" ht="12.75" r="855" spans="1:1"/>
    <row customHeight="1" ht="12.75" r="856" spans="1:1"/>
    <row customHeight="1" ht="12.75" r="857" spans="1:1"/>
    <row customHeight="1" ht="12.75" r="858" spans="1:1"/>
    <row customHeight="1" ht="12.75" r="859" spans="1:1"/>
    <row customHeight="1" ht="12.75" r="860" spans="1:1"/>
    <row customHeight="1" ht="12.75" r="861" spans="1:1"/>
    <row customHeight="1" ht="12.75" r="862" spans="1:1"/>
    <row customHeight="1" ht="12.75" r="863" spans="1:1"/>
    <row customHeight="1" ht="12.75" r="864" spans="1:1"/>
    <row customHeight="1" ht="12.75" r="865" spans="1:1"/>
    <row customHeight="1" ht="12.75" r="866" spans="1:1"/>
    <row customHeight="1" ht="12.75" r="867" spans="1:1"/>
    <row customHeight="1" ht="12.75" r="868" spans="1:1"/>
    <row customHeight="1" ht="12.75" r="869" spans="1:1"/>
    <row customHeight="1" ht="12.75" r="870" spans="1:1"/>
    <row customHeight="1" ht="12.75" r="871" spans="1:1"/>
    <row customHeight="1" ht="12.75" r="872" spans="1:1"/>
    <row customHeight="1" ht="12.75" r="873" spans="1:1"/>
    <row customHeight="1" ht="12.75" r="874" spans="1:1"/>
    <row customHeight="1" ht="12.75" r="875" spans="1:1"/>
    <row customHeight="1" ht="12.75" r="876" spans="1:1"/>
    <row customHeight="1" ht="12.75" r="877" spans="1:1"/>
    <row customHeight="1" ht="12.75" r="878" spans="1:1"/>
    <row customHeight="1" ht="12.75" r="879" spans="1:1"/>
    <row customHeight="1" ht="12.75" r="880" spans="1:1"/>
    <row customHeight="1" ht="12.75" r="881" spans="1:1"/>
    <row customHeight="1" ht="12.75" r="882" spans="1:1"/>
    <row customHeight="1" ht="12.75" r="883" spans="1:1"/>
    <row customHeight="1" ht="12.75" r="884" spans="1:1"/>
    <row customHeight="1" ht="12.75" r="885" spans="1:1"/>
    <row customHeight="1" ht="12.75" r="886" spans="1:1"/>
    <row customHeight="1" ht="12.75" r="887" spans="1:1"/>
    <row customHeight="1" ht="12.75" r="888" spans="1:1"/>
    <row customHeight="1" ht="12.75" r="889" spans="1:1"/>
    <row customHeight="1" ht="12.75" r="890" spans="1:1"/>
    <row customHeight="1" ht="12.75" r="891" spans="1:1"/>
    <row customHeight="1" ht="12.75" r="892" spans="1:1"/>
    <row customHeight="1" ht="12.75" r="893" spans="1:1"/>
    <row customHeight="1" ht="12.75" r="894" spans="1:1"/>
    <row customHeight="1" ht="12.75" r="895" spans="1:1"/>
    <row customHeight="1" ht="12.75" r="896" spans="1:1"/>
    <row customHeight="1" ht="12.75" r="897" spans="1:1"/>
    <row customHeight="1" ht="12.75" r="898" spans="1:1"/>
    <row customHeight="1" ht="12.75" r="899" spans="1:1"/>
    <row customHeight="1" ht="12.75" r="900" spans="1:1"/>
    <row customHeight="1" ht="12.75" r="901" spans="1:1"/>
    <row customHeight="1" ht="12.75" r="902" spans="1:1"/>
    <row customHeight="1" ht="12.75" r="903" spans="1:1"/>
    <row customHeight="1" ht="12.75" r="904" spans="1:1"/>
    <row customHeight="1" ht="12.75" r="905" spans="1:1"/>
    <row customHeight="1" ht="12.75" r="906" spans="1:1"/>
    <row customHeight="1" ht="12.75" r="907" spans="1:1"/>
    <row customHeight="1" ht="12.75" r="908" spans="1:1"/>
    <row customHeight="1" ht="12.75" r="909" spans="1:1"/>
    <row customHeight="1" ht="12.75" r="910" spans="1:1"/>
    <row customHeight="1" ht="12.75" r="911" spans="1:1"/>
    <row customHeight="1" ht="12.75" r="912" spans="1:1"/>
    <row customHeight="1" ht="12.75" r="913" spans="1:1"/>
    <row customHeight="1" ht="12.75" r="914" spans="1:1"/>
  </sheetData>
  <mergeCells count="5">
    <mergeCell ref="B3:E5"/>
    <mergeCell ref="B7:C7"/>
    <mergeCell ref="D7:E7"/>
    <mergeCell ref="B8:C8"/>
    <mergeCell ref="D8:E8"/>
  </mergeCells>
  <printOptions>
    <extLst>
      <ext uri="smNativeData">
        <pm:pageFlags xmlns:pm="smNativeData" autoHeightFooter="0" autoHeightHeader="0" fitToPageBoth="0" id="1542774493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774493" l="56" r="56" t="56" vertical="0"/>
        <pm:footer xmlns:pm="smNativeData" b="56" borderId="0" fillId="0" id="1542774493" l="56" r="56" t="56" vertical="2"/>
        <pm:paperBin xmlns:pm="smNativeData" Id="0" id="1542774493" type="0" value="0"/>
        <pm:paperBin xmlns:pm="smNativeData" Id="1" id="1542774493" type="0" value="0"/>
      </ext>
    </extLst>
  </headerFooter>
  <drawing r:id="rId1"/>
  <extLst>
    <ext uri="smNativeData">
      <pm:sheetPrefs xmlns:pm="smNativeData" day="1542774493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 filterMode="1"/>
  <dimension ref="A1:E91"/>
  <sheetViews>
    <sheetView view="normal" workbookViewId="0" zoomScale="85">
      <selection activeCell="C13" sqref="C13"/>
    </sheetView>
  </sheetViews>
  <sheetFormatPr defaultRowHeight="15.40"/>
  <cols>
    <col min="1" max="1" customWidth="true" width="12.0" collapsed="false"/>
    <col min="2" max="2" customWidth="true" width="23.142857" collapsed="false"/>
    <col min="3" max="3" customWidth="true" width="52.857143" collapsed="false"/>
    <col min="4" max="4" customWidth="true" width="104.142857" collapsed="false"/>
  </cols>
  <sheetData>
    <row r="1" spans="1:4">
      <c r="A1" s="393" t="s">
        <v>157</v>
      </c>
      <c r="B1" s="393" t="s">
        <v>35</v>
      </c>
      <c r="C1" s="393" t="s">
        <v>33</v>
      </c>
      <c r="D1" s="393" t="s">
        <v>158</v>
      </c>
    </row>
    <row r="2" spans="1:4">
      <c r="A2" s="398" t="s">
        <v>159</v>
      </c>
      <c r="B2" s="398" t="s">
        <v>160</v>
      </c>
      <c r="C2" s="398" t="s">
        <v>161</v>
      </c>
      <c r="D2" s="394" t="s">
        <v>162</v>
      </c>
    </row>
    <row r="3" spans="1:4">
      <c r="A3" s="398" t="s">
        <v>159</v>
      </c>
      <c r="B3" s="398" t="s">
        <v>160</v>
      </c>
      <c r="C3" s="398" t="s">
        <v>163</v>
      </c>
      <c r="D3" s="394" t="s">
        <v>164</v>
      </c>
    </row>
    <row r="4" spans="1:4">
      <c r="A4" s="398" t="s">
        <v>159</v>
      </c>
      <c r="B4" s="398" t="s">
        <v>160</v>
      </c>
      <c r="C4" s="398" t="s">
        <v>165</v>
      </c>
      <c r="D4" s="394" t="s">
        <v>166</v>
      </c>
    </row>
    <row r="5" spans="1:4">
      <c r="A5" s="398" t="s">
        <v>159</v>
      </c>
      <c r="B5" s="398" t="s">
        <v>160</v>
      </c>
      <c r="C5" s="398" t="s">
        <v>167</v>
      </c>
      <c r="D5" s="394" t="s">
        <v>168</v>
      </c>
    </row>
    <row r="6" spans="1:4">
      <c r="A6" s="398" t="s">
        <v>159</v>
      </c>
      <c r="B6" s="398" t="s">
        <v>169</v>
      </c>
      <c r="C6" s="398" t="s">
        <v>56</v>
      </c>
      <c r="D6" s="394" t="s">
        <v>170</v>
      </c>
    </row>
    <row r="7" spans="1:4">
      <c r="A7" s="398" t="s">
        <v>159</v>
      </c>
      <c r="B7" s="398" t="s">
        <v>169</v>
      </c>
      <c r="C7" s="398" t="s">
        <v>171</v>
      </c>
      <c r="D7" s="394" t="s">
        <v>172</v>
      </c>
    </row>
    <row r="8" spans="1:4">
      <c r="A8" s="398" t="s">
        <v>159</v>
      </c>
      <c r="B8" s="398" t="s">
        <v>169</v>
      </c>
      <c r="C8" s="398" t="s">
        <v>173</v>
      </c>
      <c r="D8" s="394" t="s">
        <v>174</v>
      </c>
    </row>
    <row r="9" spans="1:4">
      <c r="A9" s="398" t="s">
        <v>159</v>
      </c>
      <c r="B9" s="398" t="s">
        <v>169</v>
      </c>
      <c r="C9" s="398" t="s">
        <v>175</v>
      </c>
      <c r="D9" s="394" t="s">
        <v>176</v>
      </c>
    </row>
    <row r="10" spans="1:4">
      <c r="A10" s="398" t="s">
        <v>159</v>
      </c>
      <c r="B10" s="398" t="s">
        <v>169</v>
      </c>
      <c r="C10" s="398" t="s">
        <v>177</v>
      </c>
      <c r="D10" s="394" t="s">
        <v>178</v>
      </c>
    </row>
    <row r="11" spans="1:4">
      <c r="A11" s="398" t="s">
        <v>159</v>
      </c>
      <c r="B11" s="398" t="s">
        <v>179</v>
      </c>
      <c r="C11" s="398" t="s">
        <v>61</v>
      </c>
      <c r="D11" s="394" t="s">
        <v>180</v>
      </c>
    </row>
    <row r="12" spans="1:4">
      <c r="A12" s="398" t="s">
        <v>159</v>
      </c>
      <c r="B12" s="398" t="s">
        <v>179</v>
      </c>
      <c r="C12" s="398" t="s">
        <v>181</v>
      </c>
      <c r="D12" s="394" t="s">
        <v>182</v>
      </c>
    </row>
    <row r="13" spans="1:4">
      <c r="A13" s="398" t="s">
        <v>159</v>
      </c>
      <c r="B13" s="398" t="s">
        <v>179</v>
      </c>
      <c r="C13" s="398" t="s">
        <v>110</v>
      </c>
      <c r="D13" s="394" t="s">
        <v>183</v>
      </c>
    </row>
    <row r="14" spans="1:4">
      <c r="A14" s="398" t="s">
        <v>159</v>
      </c>
      <c r="B14" s="398" t="s">
        <v>179</v>
      </c>
      <c r="C14" s="398" t="s">
        <v>184</v>
      </c>
      <c r="D14" s="394" t="s">
        <v>185</v>
      </c>
    </row>
    <row r="15" spans="1:4">
      <c r="A15" s="398" t="s">
        <v>159</v>
      </c>
      <c r="B15" s="398" t="s">
        <v>179</v>
      </c>
      <c r="C15" s="398" t="s">
        <v>80</v>
      </c>
      <c r="D15" s="394" t="s">
        <v>186</v>
      </c>
    </row>
    <row r="16" spans="1:4">
      <c r="A16" s="398" t="s">
        <v>159</v>
      </c>
      <c r="B16" s="398" t="s">
        <v>179</v>
      </c>
      <c r="C16" s="398" t="s">
        <v>187</v>
      </c>
      <c r="D16" s="394" t="s">
        <v>188</v>
      </c>
    </row>
    <row r="17" spans="1:4">
      <c r="A17" s="398" t="s">
        <v>159</v>
      </c>
      <c r="B17" s="398" t="s">
        <v>189</v>
      </c>
      <c r="C17" s="398" t="s">
        <v>190</v>
      </c>
      <c r="D17" s="394" t="s">
        <v>191</v>
      </c>
    </row>
    <row r="18" spans="1:4">
      <c r="A18" s="398" t="s">
        <v>159</v>
      </c>
      <c r="B18" s="398" t="s">
        <v>189</v>
      </c>
      <c r="C18" s="398" t="s">
        <v>192</v>
      </c>
      <c r="D18" s="394" t="s">
        <v>193</v>
      </c>
    </row>
    <row r="19" spans="1:4">
      <c r="A19" s="398" t="s">
        <v>159</v>
      </c>
      <c r="B19" s="398" t="s">
        <v>189</v>
      </c>
      <c r="C19" s="398" t="s">
        <v>194</v>
      </c>
      <c r="D19" s="394" t="s">
        <v>195</v>
      </c>
    </row>
    <row r="20" spans="1:4">
      <c r="A20" s="398" t="s">
        <v>159</v>
      </c>
      <c r="B20" s="398" t="s">
        <v>189</v>
      </c>
      <c r="C20" s="398" t="s">
        <v>196</v>
      </c>
      <c r="D20" s="394" t="s">
        <v>197</v>
      </c>
    </row>
    <row r="21" spans="1:4">
      <c r="A21" s="398" t="s">
        <v>159</v>
      </c>
      <c r="B21" s="398" t="s">
        <v>198</v>
      </c>
      <c r="C21" s="398" t="s">
        <v>199</v>
      </c>
      <c r="D21" s="394" t="s">
        <v>200</v>
      </c>
    </row>
    <row r="22" spans="1:4">
      <c r="A22" s="398" t="s">
        <v>159</v>
      </c>
      <c r="B22" s="398" t="s">
        <v>198</v>
      </c>
      <c r="C22" s="398" t="s">
        <v>201</v>
      </c>
      <c r="D22" s="394" t="s">
        <v>202</v>
      </c>
    </row>
    <row r="23" spans="1:4">
      <c r="A23" s="398" t="s">
        <v>159</v>
      </c>
      <c r="B23" s="398" t="s">
        <v>198</v>
      </c>
      <c r="C23" s="398" t="s">
        <v>203</v>
      </c>
      <c r="D23" s="394" t="s">
        <v>204</v>
      </c>
    </row>
    <row r="24" spans="1:4">
      <c r="A24" s="398" t="s">
        <v>159</v>
      </c>
      <c r="B24" s="398" t="s">
        <v>198</v>
      </c>
      <c r="C24" s="398" t="s">
        <v>205</v>
      </c>
      <c r="D24" s="394" t="s">
        <v>206</v>
      </c>
    </row>
    <row r="25" spans="1:4">
      <c r="A25" s="398" t="s">
        <v>159</v>
      </c>
      <c r="B25" s="398" t="s">
        <v>207</v>
      </c>
      <c r="C25" s="398" t="s">
        <v>208</v>
      </c>
      <c r="D25" s="394" t="s">
        <v>209</v>
      </c>
    </row>
    <row r="26" spans="1:4">
      <c r="A26" s="398" t="s">
        <v>159</v>
      </c>
      <c r="B26" s="398" t="s">
        <v>207</v>
      </c>
      <c r="C26" s="398" t="s">
        <v>210</v>
      </c>
      <c r="D26" s="394" t="s">
        <v>211</v>
      </c>
    </row>
    <row r="27" spans="1:4">
      <c r="A27" s="398" t="s">
        <v>159</v>
      </c>
      <c r="B27" s="398" t="s">
        <v>207</v>
      </c>
      <c r="C27" s="398" t="s">
        <v>212</v>
      </c>
      <c r="D27" s="394" t="s">
        <v>213</v>
      </c>
    </row>
    <row r="28" spans="1:4">
      <c r="A28" s="398" t="s">
        <v>159</v>
      </c>
      <c r="B28" s="398" t="s">
        <v>207</v>
      </c>
      <c r="C28" s="398" t="s">
        <v>214</v>
      </c>
      <c r="D28" s="394" t="s">
        <v>215</v>
      </c>
    </row>
    <row r="29" spans="1:4">
      <c r="A29" s="398" t="s">
        <v>159</v>
      </c>
      <c r="B29" s="398" t="s">
        <v>216</v>
      </c>
      <c r="C29" s="398" t="s">
        <v>217</v>
      </c>
      <c r="D29" s="394" t="s">
        <v>218</v>
      </c>
    </row>
    <row r="30" spans="1:4">
      <c r="A30" s="398" t="s">
        <v>159</v>
      </c>
      <c r="B30" s="398" t="s">
        <v>216</v>
      </c>
      <c r="C30" s="398" t="s">
        <v>219</v>
      </c>
      <c r="D30" s="394" t="s">
        <v>220</v>
      </c>
    </row>
    <row r="31" spans="1:4">
      <c r="A31" s="398" t="s">
        <v>159</v>
      </c>
      <c r="B31" s="398" t="s">
        <v>216</v>
      </c>
      <c r="C31" s="398" t="s">
        <v>221</v>
      </c>
      <c r="D31" s="394" t="s">
        <v>222</v>
      </c>
    </row>
    <row r="32" spans="1:4">
      <c r="A32" s="398" t="s">
        <v>159</v>
      </c>
      <c r="B32" s="398" t="s">
        <v>216</v>
      </c>
      <c r="C32" s="398" t="s">
        <v>223</v>
      </c>
      <c r="D32" s="394" t="s">
        <v>224</v>
      </c>
    </row>
    <row r="33" spans="1:4">
      <c r="A33" s="398" t="s">
        <v>159</v>
      </c>
      <c r="B33" s="398" t="s">
        <v>225</v>
      </c>
      <c r="C33" s="398" t="s">
        <v>97</v>
      </c>
      <c r="D33" s="394" t="s">
        <v>226</v>
      </c>
    </row>
    <row r="34" spans="1:4">
      <c r="A34" s="398" t="s">
        <v>159</v>
      </c>
      <c r="B34" s="398" t="s">
        <v>225</v>
      </c>
      <c r="C34" s="398" t="s">
        <v>227</v>
      </c>
      <c r="D34" s="394" t="s">
        <v>228</v>
      </c>
    </row>
    <row r="35" spans="1:4">
      <c r="A35" s="398" t="s">
        <v>159</v>
      </c>
      <c r="B35" s="398" t="s">
        <v>225</v>
      </c>
      <c r="C35" s="398" t="s">
        <v>229</v>
      </c>
      <c r="D35" s="394" t="s">
        <v>230</v>
      </c>
    </row>
    <row r="36" spans="1:4">
      <c r="A36" s="398" t="s">
        <v>159</v>
      </c>
      <c r="B36" s="398" t="s">
        <v>225</v>
      </c>
      <c r="C36" s="398" t="s">
        <v>231</v>
      </c>
      <c r="D36" s="394" t="s">
        <v>232</v>
      </c>
    </row>
    <row r="37" spans="1:4">
      <c r="A37" s="398" t="s">
        <v>159</v>
      </c>
      <c r="B37" s="398" t="s">
        <v>225</v>
      </c>
      <c r="C37" s="398" t="s">
        <v>233</v>
      </c>
      <c r="D37" s="394" t="s">
        <v>234</v>
      </c>
    </row>
    <row r="38" spans="1:4">
      <c r="A38" s="398" t="s">
        <v>159</v>
      </c>
      <c r="B38" s="398" t="s">
        <v>225</v>
      </c>
      <c r="C38" s="398" t="s">
        <v>235</v>
      </c>
      <c r="D38" s="394" t="s">
        <v>236</v>
      </c>
    </row>
    <row r="39" spans="1:4">
      <c r="A39" s="398" t="s">
        <v>159</v>
      </c>
      <c r="B39" s="398" t="s">
        <v>225</v>
      </c>
      <c r="C39" s="398" t="s">
        <v>237</v>
      </c>
      <c r="D39" s="394" t="s">
        <v>238</v>
      </c>
    </row>
    <row r="40" spans="1:4">
      <c r="A40" s="398" t="s">
        <v>159</v>
      </c>
      <c r="B40" s="398" t="s">
        <v>225</v>
      </c>
      <c r="C40" s="398" t="s">
        <v>239</v>
      </c>
      <c r="D40" s="394" t="s">
        <v>240</v>
      </c>
    </row>
    <row r="41" spans="1:4">
      <c r="A41" s="398" t="s">
        <v>159</v>
      </c>
      <c r="B41" s="398" t="s">
        <v>225</v>
      </c>
      <c r="C41" s="398" t="s">
        <v>241</v>
      </c>
      <c r="D41" s="394" t="s">
        <v>242</v>
      </c>
    </row>
    <row r="42" spans="1:4">
      <c r="A42" s="398" t="s">
        <v>159</v>
      </c>
      <c r="B42" s="398" t="s">
        <v>225</v>
      </c>
      <c r="C42" s="398" t="s">
        <v>243</v>
      </c>
      <c r="D42" s="394" t="s">
        <v>244</v>
      </c>
    </row>
    <row r="43" spans="1:4">
      <c r="A43" s="398" t="s">
        <v>159</v>
      </c>
      <c r="B43" s="398" t="s">
        <v>225</v>
      </c>
      <c r="C43" s="398" t="s">
        <v>93</v>
      </c>
      <c r="D43" s="394" t="s">
        <v>245</v>
      </c>
    </row>
    <row r="44" spans="1:4">
      <c r="A44" s="398" t="s">
        <v>159</v>
      </c>
      <c r="B44" s="398" t="s">
        <v>225</v>
      </c>
      <c r="C44" s="398" t="s">
        <v>88</v>
      </c>
      <c r="D44" s="394" t="s">
        <v>246</v>
      </c>
    </row>
    <row r="45" spans="1:4">
      <c r="A45" s="398" t="s">
        <v>159</v>
      </c>
      <c r="B45" s="398" t="s">
        <v>225</v>
      </c>
      <c r="C45" s="398" t="s">
        <v>247</v>
      </c>
      <c r="D45" s="394" t="s">
        <v>248</v>
      </c>
    </row>
    <row r="46" spans="1:4">
      <c r="A46" s="398" t="s">
        <v>159</v>
      </c>
      <c r="B46" s="398" t="s">
        <v>249</v>
      </c>
      <c r="C46" s="398" t="s">
        <v>250</v>
      </c>
      <c r="D46" s="394" t="s">
        <v>251</v>
      </c>
    </row>
    <row r="47" spans="1:4">
      <c r="A47" s="398" t="s">
        <v>159</v>
      </c>
      <c r="B47" s="398" t="s">
        <v>252</v>
      </c>
      <c r="C47" s="398" t="s">
        <v>68</v>
      </c>
      <c r="D47" s="394" t="s">
        <v>253</v>
      </c>
    </row>
    <row r="48" spans="1:4">
      <c r="A48" s="398" t="s">
        <v>159</v>
      </c>
      <c r="B48" s="398" t="s">
        <v>252</v>
      </c>
      <c r="C48" s="398" t="s">
        <v>254</v>
      </c>
      <c r="D48" s="394" t="s">
        <v>255</v>
      </c>
    </row>
    <row r="49" spans="1:4">
      <c r="A49" s="398" t="s">
        <v>159</v>
      </c>
      <c r="B49" s="398" t="s">
        <v>252</v>
      </c>
      <c r="C49" s="398" t="s">
        <v>256</v>
      </c>
      <c r="D49" s="394" t="s">
        <v>257</v>
      </c>
    </row>
    <row r="50" spans="1:4">
      <c r="A50" s="398" t="s">
        <v>159</v>
      </c>
      <c r="B50" s="398" t="s">
        <v>252</v>
      </c>
      <c r="C50" s="398" t="s">
        <v>258</v>
      </c>
      <c r="D50" s="394" t="s">
        <v>259</v>
      </c>
    </row>
    <row r="51" spans="1:4">
      <c r="A51" s="398" t="s">
        <v>159</v>
      </c>
      <c r="B51" s="398" t="s">
        <v>252</v>
      </c>
      <c r="C51" s="398" t="s">
        <v>71</v>
      </c>
      <c r="D51" s="394" t="s">
        <v>260</v>
      </c>
    </row>
    <row r="52" spans="1:4">
      <c r="A52" s="398" t="s">
        <v>159</v>
      </c>
      <c r="B52" s="398" t="s">
        <v>252</v>
      </c>
      <c r="C52" s="398" t="s">
        <v>77</v>
      </c>
      <c r="D52" s="394" t="s">
        <v>261</v>
      </c>
    </row>
    <row r="53" spans="1:4">
      <c r="A53" s="398" t="s">
        <v>159</v>
      </c>
      <c r="B53" s="398" t="s">
        <v>252</v>
      </c>
      <c r="C53" s="398" t="s">
        <v>262</v>
      </c>
      <c r="D53" s="394" t="s">
        <v>263</v>
      </c>
    </row>
    <row r="54" spans="1:4">
      <c r="A54" s="398" t="s">
        <v>159</v>
      </c>
      <c r="B54" s="398" t="s">
        <v>252</v>
      </c>
      <c r="C54" s="398" t="s">
        <v>264</v>
      </c>
      <c r="D54" s="394" t="s">
        <v>265</v>
      </c>
    </row>
    <row r="55" spans="1:4">
      <c r="A55" s="398" t="s">
        <v>159</v>
      </c>
      <c r="B55" s="398" t="s">
        <v>252</v>
      </c>
      <c r="C55" s="398" t="s">
        <v>266</v>
      </c>
      <c r="D55" s="394" t="s">
        <v>267</v>
      </c>
    </row>
    <row r="56" spans="1:4">
      <c r="A56" s="398" t="s">
        <v>159</v>
      </c>
      <c r="B56" s="398" t="s">
        <v>252</v>
      </c>
      <c r="C56" s="398" t="s">
        <v>268</v>
      </c>
      <c r="D56" s="394" t="s">
        <v>269</v>
      </c>
    </row>
    <row r="57" spans="1:4">
      <c r="A57" s="398" t="s">
        <v>159</v>
      </c>
      <c r="B57" s="398" t="s">
        <v>252</v>
      </c>
      <c r="C57" s="398" t="s">
        <v>270</v>
      </c>
      <c r="D57" s="394" t="s">
        <v>271</v>
      </c>
    </row>
    <row r="58" spans="1:4">
      <c r="A58" s="398" t="s">
        <v>159</v>
      </c>
      <c r="B58" s="398" t="s">
        <v>272</v>
      </c>
      <c r="C58" s="398" t="s">
        <v>273</v>
      </c>
      <c r="D58" s="394" t="s">
        <v>274</v>
      </c>
    </row>
    <row r="59" spans="1:4">
      <c r="A59" s="398" t="s">
        <v>159</v>
      </c>
      <c r="B59" s="398" t="s">
        <v>272</v>
      </c>
      <c r="C59" s="398" t="s">
        <v>275</v>
      </c>
      <c r="D59" s="394" t="s">
        <v>276</v>
      </c>
    </row>
    <row r="60" spans="1:4">
      <c r="A60" s="398" t="s">
        <v>159</v>
      </c>
      <c r="B60" s="398" t="s">
        <v>272</v>
      </c>
      <c r="C60" s="398" t="s">
        <v>277</v>
      </c>
      <c r="D60" s="394" t="s">
        <v>278</v>
      </c>
    </row>
    <row r="61" spans="1:4">
      <c r="A61" s="398" t="s">
        <v>159</v>
      </c>
      <c r="B61" s="398" t="s">
        <v>279</v>
      </c>
      <c r="C61" s="398" t="s">
        <v>280</v>
      </c>
      <c r="D61" s="394" t="s">
        <v>281</v>
      </c>
    </row>
    <row r="62" spans="1:4">
      <c r="A62" s="398" t="s">
        <v>159</v>
      </c>
      <c r="B62" s="398" t="s">
        <v>279</v>
      </c>
      <c r="C62" s="398" t="s">
        <v>282</v>
      </c>
      <c r="D62" s="394" t="s">
        <v>283</v>
      </c>
    </row>
    <row r="63" spans="1:4">
      <c r="A63" s="398" t="s">
        <v>159</v>
      </c>
      <c r="B63" s="398" t="s">
        <v>284</v>
      </c>
      <c r="C63" s="398" t="s">
        <v>285</v>
      </c>
      <c r="D63" s="394" t="s">
        <v>286</v>
      </c>
    </row>
    <row r="64" spans="1:4">
      <c r="A64" s="398" t="s">
        <v>159</v>
      </c>
      <c r="B64" s="398" t="s">
        <v>284</v>
      </c>
      <c r="C64" s="398" t="s">
        <v>287</v>
      </c>
      <c r="D64" s="394" t="s">
        <v>288</v>
      </c>
    </row>
    <row r="65" spans="1:4">
      <c r="A65" s="398" t="s">
        <v>159</v>
      </c>
      <c r="B65" s="398" t="s">
        <v>284</v>
      </c>
      <c r="C65" s="398" t="s">
        <v>289</v>
      </c>
      <c r="D65" s="394" t="s">
        <v>290</v>
      </c>
    </row>
    <row r="66" spans="1:4">
      <c r="A66" s="398" t="s">
        <v>159</v>
      </c>
      <c r="B66" s="398" t="s">
        <v>291</v>
      </c>
      <c r="C66" s="398" t="s">
        <v>108</v>
      </c>
      <c r="D66" s="394" t="s">
        <v>292</v>
      </c>
    </row>
    <row r="67" spans="1:4">
      <c r="A67" s="398" t="s">
        <v>159</v>
      </c>
      <c r="B67" s="398" t="s">
        <v>291</v>
      </c>
      <c r="C67" s="398" t="s">
        <v>293</v>
      </c>
      <c r="D67" s="394" t="s">
        <v>294</v>
      </c>
    </row>
    <row r="68" spans="1:4">
      <c r="A68" s="398" t="s">
        <v>159</v>
      </c>
      <c r="B68" s="398" t="s">
        <v>291</v>
      </c>
      <c r="C68" s="398" t="s">
        <v>295</v>
      </c>
      <c r="D68" s="394" t="s">
        <v>296</v>
      </c>
    </row>
    <row r="69" spans="1:4">
      <c r="A69" s="398" t="s">
        <v>159</v>
      </c>
      <c r="B69" s="398" t="s">
        <v>291</v>
      </c>
      <c r="C69" s="398" t="s">
        <v>297</v>
      </c>
      <c r="D69" s="394" t="s">
        <v>298</v>
      </c>
    </row>
    <row r="70" spans="1:4">
      <c r="A70" s="398" t="s">
        <v>159</v>
      </c>
      <c r="B70" s="398" t="s">
        <v>299</v>
      </c>
      <c r="C70" s="398" t="s">
        <v>300</v>
      </c>
      <c r="D70" s="394" t="s">
        <v>301</v>
      </c>
    </row>
    <row r="71" spans="1:4">
      <c r="A71" s="398" t="s">
        <v>159</v>
      </c>
      <c r="B71" s="398" t="s">
        <v>302</v>
      </c>
      <c r="C71" s="398" t="s">
        <v>74</v>
      </c>
      <c r="D71" s="394" t="s">
        <v>303</v>
      </c>
    </row>
    <row r="72" spans="1:4">
      <c r="A72" s="398" t="s">
        <v>159</v>
      </c>
      <c r="B72" s="398" t="s">
        <v>304</v>
      </c>
      <c r="C72" s="398" t="s">
        <v>305</v>
      </c>
      <c r="D72" s="394" t="s">
        <v>306</v>
      </c>
    </row>
    <row r="73" spans="1:4">
      <c r="A73" s="398" t="s">
        <v>159</v>
      </c>
      <c r="B73" s="398" t="s">
        <v>304</v>
      </c>
      <c r="C73" s="398" t="s">
        <v>307</v>
      </c>
      <c r="D73" s="394" t="s">
        <v>308</v>
      </c>
    </row>
    <row r="74" spans="1:4">
      <c r="A74" s="398" t="s">
        <v>159</v>
      </c>
      <c r="B74" s="398" t="s">
        <v>304</v>
      </c>
      <c r="C74" s="398" t="s">
        <v>309</v>
      </c>
      <c r="D74" s="394" t="s">
        <v>310</v>
      </c>
    </row>
    <row r="75" spans="1:4">
      <c r="A75" s="398" t="s">
        <v>311</v>
      </c>
      <c r="B75" s="398" t="s">
        <v>312</v>
      </c>
      <c r="C75" s="398" t="s">
        <v>313</v>
      </c>
      <c r="D75" s="394" t="s">
        <v>314</v>
      </c>
    </row>
    <row r="76" spans="1:4">
      <c r="A76" s="398" t="s">
        <v>315</v>
      </c>
      <c r="B76" s="398" t="s">
        <v>316</v>
      </c>
      <c r="C76" s="398" t="s">
        <v>317</v>
      </c>
      <c r="D76" s="394" t="s">
        <v>318</v>
      </c>
    </row>
    <row r="77" spans="1:4">
      <c r="A77" s="398" t="s">
        <v>315</v>
      </c>
      <c r="B77" s="398" t="s">
        <v>316</v>
      </c>
      <c r="C77" s="398" t="s">
        <v>319</v>
      </c>
      <c r="D77" s="394" t="s">
        <v>320</v>
      </c>
    </row>
    <row r="78" spans="1:4">
      <c r="A78" s="398" t="s">
        <v>315</v>
      </c>
      <c r="B78" s="398" t="s">
        <v>316</v>
      </c>
      <c r="C78" s="398" t="s">
        <v>321</v>
      </c>
      <c r="D78" s="394" t="s">
        <v>322</v>
      </c>
    </row>
    <row r="79" spans="1:4">
      <c r="A79" s="398" t="s">
        <v>315</v>
      </c>
      <c r="B79" s="398" t="s">
        <v>316</v>
      </c>
      <c r="C79" s="398" t="s">
        <v>323</v>
      </c>
      <c r="D79" s="394" t="s">
        <v>324</v>
      </c>
    </row>
    <row r="80" spans="1:4">
      <c r="A80" s="398" t="s">
        <v>315</v>
      </c>
      <c r="B80" s="398" t="s">
        <v>316</v>
      </c>
      <c r="C80" s="398" t="s">
        <v>325</v>
      </c>
      <c r="D80" s="394" t="s">
        <v>326</v>
      </c>
    </row>
    <row r="81" spans="1:4">
      <c r="A81" s="398" t="s">
        <v>327</v>
      </c>
      <c r="B81" s="398" t="s">
        <v>328</v>
      </c>
      <c r="C81" s="398" t="s">
        <v>329</v>
      </c>
      <c r="D81" s="394" t="s">
        <v>330</v>
      </c>
    </row>
    <row r="82" spans="1:4">
      <c r="A82" s="398" t="s">
        <v>327</v>
      </c>
      <c r="B82" s="398" t="s">
        <v>328</v>
      </c>
      <c r="C82" s="398" t="s">
        <v>331</v>
      </c>
      <c r="D82" s="394" t="s">
        <v>332</v>
      </c>
    </row>
    <row r="83" spans="1:4">
      <c r="A83" s="398" t="s">
        <v>327</v>
      </c>
      <c r="B83" s="398" t="s">
        <v>328</v>
      </c>
      <c r="C83" s="398" t="s">
        <v>333</v>
      </c>
      <c r="D83" s="394" t="s">
        <v>334</v>
      </c>
    </row>
    <row r="84" spans="1:4">
      <c r="A84" s="398" t="s">
        <v>327</v>
      </c>
      <c r="B84" s="398" t="s">
        <v>335</v>
      </c>
      <c r="C84" s="398" t="s">
        <v>336</v>
      </c>
      <c r="D84" s="394" t="s">
        <v>337</v>
      </c>
    </row>
    <row r="85" spans="1:4">
      <c r="A85" s="398" t="s">
        <v>327</v>
      </c>
      <c r="B85" s="398" t="s">
        <v>335</v>
      </c>
      <c r="C85" s="398" t="s">
        <v>338</v>
      </c>
      <c r="D85" s="394" t="s">
        <v>339</v>
      </c>
    </row>
    <row r="86" spans="1:4">
      <c r="A86" s="398" t="s">
        <v>327</v>
      </c>
      <c r="B86" s="398" t="s">
        <v>335</v>
      </c>
      <c r="C86" s="398" t="s">
        <v>340</v>
      </c>
      <c r="D86" s="394" t="s">
        <v>341</v>
      </c>
    </row>
    <row r="87" spans="1:4">
      <c r="A87" s="398" t="s">
        <v>342</v>
      </c>
      <c r="B87" s="398" t="s">
        <v>343</v>
      </c>
      <c r="C87" s="398" t="s">
        <v>344</v>
      </c>
      <c r="D87" s="394" t="s">
        <v>345</v>
      </c>
    </row>
    <row r="88" spans="1:4">
      <c r="A88" s="398" t="s">
        <v>342</v>
      </c>
      <c r="B88" s="398" t="s">
        <v>346</v>
      </c>
      <c r="C88" s="398" t="s">
        <v>347</v>
      </c>
      <c r="D88" s="394" t="s">
        <v>348</v>
      </c>
    </row>
    <row r="89" spans="1:4">
      <c r="A89" s="398" t="s">
        <v>349</v>
      </c>
      <c r="B89" s="398" t="s">
        <v>350</v>
      </c>
      <c r="C89" s="398" t="s">
        <v>351</v>
      </c>
      <c r="D89" s="394" t="s">
        <v>352</v>
      </c>
    </row>
    <row r="90" spans="1:4">
      <c r="A90" s="398" t="s">
        <v>349</v>
      </c>
      <c r="B90" s="398" t="s">
        <v>350</v>
      </c>
      <c r="C90" s="398" t="s">
        <v>353</v>
      </c>
      <c r="D90" s="394" t="s">
        <v>354</v>
      </c>
    </row>
    <row r="91" spans="1:4">
      <c r="A91" s="398" t="s">
        <v>349</v>
      </c>
      <c r="B91" s="398" t="s">
        <v>350</v>
      </c>
      <c r="C91" s="398" t="s">
        <v>355</v>
      </c>
      <c r="D91" s="394" t="s">
        <v>356</v>
      </c>
    </row>
  </sheetData>
  <autoFilter ref="A1:D91">
    <sortState ref="C2:C91">
      <sortCondition ref="C1:C91"/>
    </sortState>
  </autoFilter>
  <printOptions>
    <extLst>
      <ext uri="smNativeData">
        <pm:pageFlags xmlns:pm="smNativeData" autoHeightFooter="0" autoHeightHeader="0" fitToPageBoth="0" id="1542774493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774493" l="56" r="56" t="56" vertical="0"/>
        <pm:footer xmlns:pm="smNativeData" b="56" borderId="0" fillId="0" id="1542774493" l="56" r="56" t="56" vertical="2"/>
        <pm:paperBin xmlns:pm="smNativeData" Id="0" id="1542774493" type="0" value="0"/>
        <pm:paperBin xmlns:pm="smNativeData" Id="1" id="1542774493" type="0" value="0"/>
      </ext>
    </extLst>
  </headerFooter>
  <extLst>
    <ext uri="smNativeData">
      <pm:sheetPrefs xmlns:pm="smNativeData" day="1542774493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/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2006-09-16T00:00:00Z</dcterms:created>
  <dc:creator>7P7</dc:creator>
  <cp:lastModifiedBy>mrh</cp:lastModifiedBy>
  <dcterms:modified xsi:type="dcterms:W3CDTF">2018-11-21T04:28:13Z</dcterms:modified>
  <cp:revision>0</cp:revision>
</cp:coreProperties>
</file>