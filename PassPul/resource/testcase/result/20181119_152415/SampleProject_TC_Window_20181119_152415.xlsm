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TC!$A$1:$Y$14</definedName>
  </definedNames>
  <calcPr/>
  <extLst>
    <ext uri="smNativeData">
      <pm:revision xmlns:pm="smNativeData" day="1542563051" rev="123" revOS="4" val="938"/>
      <pm:docPrefs xmlns:pm="smNativeData" autoChart="1" compatTextArt="1" finalRounding="1" fixedDigits="0" id="1542563051" printArea="currentSheet" recalcOnCopy="1" recalcOnPrint="1" showFrameBounds="1" showNotice="1" tab="567" useDefinedPrintRange="1"/>
      <pm:compatibility xmlns:pm="smNativeData" id="1542563051" overlapCells="1"/>
      <pm:defCurrency xmlns:pm="smNativeData" id="1542563051"/>
    </ext>
  </extLst>
</workbook>
</file>

<file path=xl/sharedStrings.xml><?xml version="1.0" encoding="utf-8"?>
<sst xmlns="http://schemas.openxmlformats.org/spreadsheetml/2006/main" count="680" uniqueCount="310">
  <si>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</si>
  <si>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</si>
  <si>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</si>
  <si>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</si>
  <si>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</si>
  <si>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</si>
  <si>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</si>
  <si>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</si>
  <si>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</si>
  <si>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</si>
  <si>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</si>
  <si>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</si>
  <si>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</si>
  <si>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</si>
  <si>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</si>
  <si>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</si>
  <si>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</si>
  <si>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</si>
  <si>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</si>
  <si>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</si>
  <si>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</si>
  <si>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</si>
  <si>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</si>
  <si>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</si>
  <si>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</si>
  <si>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</si>
  <si>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</si>
  <si>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</si>
  <si>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</si>
  <si>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</si>
  <si>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</si>
  <si>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</si>
  <si>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</si>
  <si>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</si>
  <si>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</si>
  <si>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</si>
  <si>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</si>
  <si>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</si>
  <si>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</si>
  <si>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</si>
  <si>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</si>
  <si>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</si>
  <si>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</si>
  <si>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</si>
  <si>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</si>
  <si>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</si>
  <si>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</si>
  <si>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</si>
  <si>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</si>
  <si>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Browser Window</t>
  </si>
  <si>
    <t>TC_01</t>
  </si>
  <si>
    <t>Go to [Window Popup Modal] screen</t>
  </si>
  <si>
    <t>Medium</t>
  </si>
  <si>
    <t>Y</t>
  </si>
  <si>
    <t/>
  </si>
  <si>
    <t>Go to Demo Screen</t>
  </si>
  <si>
    <t>GO TO URL</t>
  </si>
  <si>
    <t>SampleProject_BrowserWindow_Screen</t>
  </si>
  <si>
    <t>Click on [Follow On Twitter] button</t>
  </si>
  <si>
    <t>CLICK</t>
  </si>
  <si>
    <t>SampleProject_BrowserWindow_FollowOnTwitter_Button</t>
  </si>
  <si>
    <t>TC_02</t>
  </si>
  <si>
    <t>Switch Window</t>
  </si>
  <si>
    <t>Switch to new Window</t>
  </si>
  <si>
    <t>SWITCH WINDOW</t>
  </si>
  <si>
    <t>Selenium Easy (@seleniumeasy) on Twitter</t>
  </si>
  <si>
    <t>Verify new Window is switched to</t>
  </si>
  <si>
    <t>VERIFY TEXT</t>
  </si>
  <si>
    <t>SampleProject_BrowserWindow_SeleniumEasy_Label</t>
  </si>
  <si>
    <t>Selenium Easy</t>
  </si>
  <si>
    <t>TC_03</t>
  </si>
  <si>
    <t>New Window</t>
  </si>
  <si>
    <t>Open new Window</t>
  </si>
  <si>
    <t>NEW WINDOW</t>
  </si>
  <si>
    <t>SampleProject_SimpleFormDemo_Screen</t>
  </si>
  <si>
    <t>TC_04</t>
  </si>
  <si>
    <t>Close Window</t>
  </si>
  <si>
    <t>CLOSE WINDOW</t>
  </si>
  <si>
    <t>Verify the first Window is chosen</t>
  </si>
  <si>
    <t>SampleProject_BrowserWindow_Title_Label</t>
  </si>
  <si>
    <t>Window popup Modal Example for Automation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</si>
  <si>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</si>
  <si>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</si>
  <si>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</si>
  <si>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</si>
  <si>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</si>
  <si>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</si>
  <si>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</si>
  <si>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</si>
  <si>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</si>
  <si>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</si>
  <si>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</si>
  <si>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</si>
  <si>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</si>
  <si>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</si>
  <si>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</si>
  <si>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</si>
  <si>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</si>
  <si>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</si>
  <si>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</si>
  <si>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</si>
  <si>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</si>
  <si>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</si>
  <si>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</si>
  <si>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</si>
  <si>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</si>
  <si>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</si>
  <si>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</si>
  <si>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</si>
  <si>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</si>
  <si>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</si>
  <si>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</si>
  <si>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</si>
  <si>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</si>
  <si>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</si>
  <si>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</si>
  <si>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</si>
  <si>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</si>
  <si>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</si>
  <si>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</si>
  <si>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</si>
  <si>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</si>
  <si>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</si>
  <si>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</si>
  <si>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</si>
  <si>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</si>
  <si>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</si>
  <si>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</si>
  <si>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</si>
  <si>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</si>
  <si>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</si>
  <si>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</si>
  <si>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</si>
  <si>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</si>
  <si>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</si>
  <si>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</si>
  <si>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</si>
  <si>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</si>
  <si>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</si>
  <si>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</si>
  <si>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</si>
  <si>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</si>
  <si>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</si>
  <si>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</si>
  <si>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</si>
  <si>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</si>
  <si>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</si>
  <si>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</si>
  <si>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</si>
  <si>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</si>
  <si>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</si>
  <si>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</si>
  <si>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</si>
  <si>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</si>
  <si>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</si>
  <si>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</si>
  <si>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</si>
  <si>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</si>
  <si>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</si>
  <si>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</si>
  <si>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</si>
  <si>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</si>
  <si>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</si>
  <si>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</si>
  <si>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</si>
  <si>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</si>
  <si>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</si>
  <si>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</si>
  <si>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</si>
  <si>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</si>
  <si>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</si>
  <si>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</si>
  <si>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</si>
  <si>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</si>
  <si>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</si>
  <si>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</si>
  <si>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</si>
  <si>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</si>
  <si>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</si>
  <si>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</si>
  <si>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</si>
  <si>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</si>
  <si>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</si>
  <si>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</si>
  <si>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</si>
  <si>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</si>
  <si>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</si>
  <si>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</si>
  <si>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</si>
  <si>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</si>
  <si>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</si>
  <si>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</si>
  <si>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</si>
  <si>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</si>
  <si>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</si>
  <si>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</si>
  <si>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</si>
  <si>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</si>
  <si>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</si>
  <si>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</si>
  <si>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</si>
  <si>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</si>
  <si>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</si>
  <si>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</si>
  <si>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</si>
  <si>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</si>
  <si>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</si>
  <si>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</si>
  <si>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</si>
  <si>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</si>
  <si>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</si>
  <si>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</si>
  <si>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</si>
  <si>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</si>
  <si>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</si>
  <si>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</si>
  <si>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</si>
  <si>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</si>
  <si>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</si>
  <si>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</si>
  <si>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</si>
  <si>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</si>
  <si>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</si>
  <si>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</si>
  <si>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</si>
  <si>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</si>
  <si>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</si>
  <si>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</si>
  <si>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</si>
  <si>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Open a new window</t>
  </si>
  <si>
    <t>Close the current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</si>
  <si>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</si>
  <si>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</si>
  <si>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</si>
  <si>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</si>
  <si>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</si>
  <si>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</si>
  <si>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</si>
  <si>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</si>
  <si>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</si>
  <si>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</si>
  <si>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</si>
  <si>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</si>
  <si>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</si>
  <si>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</si>
  <si>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</si>
  <si>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</si>
  <si>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</si>
  <si>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</si>
  <si>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</si>
  <si>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</si>
  <si>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</si>
  <si>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</si>
  <si>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</si>
  <si>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</si>
  <si>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</si>
  <si>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</si>
  <si>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</si>
  <si>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</si>
  <si>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</si>
  <si>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</si>
  <si>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</si>
  <si>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</si>
  <si>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</si>
  <si>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</si>
  <si>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</si>
  <si>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</si>
  <si>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</si>
  <si>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</si>
  <si>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</si>
  <si>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</si>
  <si>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</si>
  <si>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</si>
  <si>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</si>
  <si>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</si>
  <si>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</si>
  <si>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</si>
  <si>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</si>
  <si>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</si>
  <si>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</si>
  <si>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</si>
  <si>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</si>
  <si>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</si>
  <si>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</si>
  <si>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</si>
  <si>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</si>
  <si>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</si>
  <si>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</si>
  <si>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</si>
  <si>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</si>
  <si>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</si>
  <si>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</si>
  <si>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</si>
  <si>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</si>
  <si>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</si>
  <si>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</si>
  <si>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</si>
  <si>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</si>
  <si>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</si>
  <si>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</si>
  <si>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</si>
  <si>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</si>
  <si>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</si>
  <si>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4</t>
  </si>
  <si>
    <t>2</t>
  </si>
  <si>
    <t>PASS</t>
  </si>
  <si>
    <t>Grand Total</t>
  </si>
  <si>
    <t>11/19/2018 15:24:15</t>
  </si>
  <si>
    <t>11/19/2018 15:24:37</t>
  </si>
  <si>
    <t>0 min, 22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</si>
</sst>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4">
    <font>
      <name val="Calibri"/>
      <family val="2"/>
      <color rgb="FF000000"/>
      <sz val="11"/>
      <extLst>
        <ext uri="smNativeData">
          <pm:charSpec xmlns:pm="smNativeData" id="154256305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3051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305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3051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3051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3051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305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3051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3051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3051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5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3051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3051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305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0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51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3051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51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51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71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8" borderId="0" xfId="0" applyFill="true" applyFont="true"/>
    <xf numFmtId="0" fontId="15" fillId="20" borderId="0" xfId="0" applyFill="true" applyFont="true"/>
    <xf numFmtId="0" fontId="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7" fillId="24" borderId="19" xfId="0" applyFill="true" applyFont="true" applyBorder="true"/>
    <xf numFmtId="0" fontId="0" fillId="0" borderId="19" xfId="0" applyBorder="true"/>
    <xf numFmtId="10" fontId="18" fillId="24" borderId="19" xfId="0" applyFill="true" applyFont="true" applyNumberFormat="true" applyBorder="true"/>
    <xf numFmtId="0" fontId="19" fillId="18" borderId="0" xfId="0" applyFill="true" applyFont="true"/>
    <xf numFmtId="0" fontId="20" fillId="20" borderId="0" xfId="0" applyFill="true" applyFont="true"/>
    <xf numFmtId="0" fontId="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2" fillId="24" borderId="19" xfId="0" applyFill="true" applyFont="true" applyBorder="true"/>
    <xf numFmtId="0" fontId="0" fillId="0" borderId="19" xfId="0" applyBorder="true"/>
    <xf numFmtId="10" fontId="23" fillId="24" borderId="19" xfId="0" applyFill="true" applyFont="true" applyNumberFormat="true" applyBorder="true"/>
    <xf numFmtId="0" fontId="24" fillId="18" borderId="0" xfId="0" applyFill="true" applyFont="true"/>
    <xf numFmtId="0" fontId="25" fillId="20" borderId="0" xfId="0" applyFill="true" applyFont="true"/>
    <xf numFmtId="0" fontId="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7" fillId="24" borderId="19" xfId="0" applyFill="true" applyFont="true" applyBorder="true"/>
    <xf numFmtId="0" fontId="0" fillId="0" borderId="19" xfId="0" applyBorder="true"/>
    <xf numFmtId="10" fontId="28" fillId="24" borderId="19" xfId="0" applyFill="true" applyFont="true" applyNumberFormat="true" applyBorder="true"/>
    <xf numFmtId="0" fontId="29" fillId="18" borderId="0" xfId="0" applyFill="true" applyFont="true"/>
    <xf numFmtId="0" fontId="30" fillId="20" borderId="0" xfId="0" applyFill="true" applyFont="true"/>
    <xf numFmtId="0" fontId="3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2" fillId="24" borderId="19" xfId="0" applyFill="true" applyFont="true" applyBorder="true"/>
    <xf numFmtId="0" fontId="0" fillId="0" borderId="19" xfId="0" applyBorder="true"/>
    <xf numFmtId="10" fontId="33" fillId="24" borderId="19" xfId="0" applyFill="true" applyFont="true" applyNumberFormat="true" applyBorder="true"/>
    <xf numFmtId="0" fontId="34" fillId="18" borderId="0" xfId="0" applyFill="true" applyFont="true"/>
    <xf numFmtId="0" fontId="35" fillId="20" borderId="0" xfId="0" applyFill="true" applyFont="true"/>
    <xf numFmtId="0" fontId="3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7" fillId="24" borderId="19" xfId="0" applyFill="true" applyFont="true" applyBorder="true"/>
    <xf numFmtId="0" fontId="0" fillId="0" borderId="19" xfId="0" applyBorder="true"/>
    <xf numFmtId="10" fontId="38" fillId="24" borderId="19" xfId="0" applyFill="true" applyFont="true" applyNumberFormat="true" applyBorder="true"/>
    <xf numFmtId="0" fontId="39" fillId="18" borderId="0" xfId="0" applyFill="true" applyFont="true"/>
    <xf numFmtId="0" fontId="40" fillId="20" borderId="0" xfId="0" applyFill="true" applyFont="true"/>
    <xf numFmtId="0" fontId="4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2" fillId="24" borderId="19" xfId="0" applyFill="true" applyFont="true" applyBorder="true"/>
    <xf numFmtId="0" fontId="0" fillId="0" borderId="19" xfId="0" applyBorder="true"/>
    <xf numFmtId="10" fontId="43" fillId="24" borderId="19" xfId="0" applyFill="true" applyFont="true" applyNumberFormat="true" applyBorder="true"/>
    <xf numFmtId="0" fontId="44" fillId="18" borderId="0" xfId="0" applyFill="true" applyFont="true"/>
    <xf numFmtId="0" fontId="45" fillId="20" borderId="0" xfId="0" applyFill="true" applyFont="true"/>
    <xf numFmtId="0" fontId="4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7" fillId="24" borderId="19" xfId="0" applyFill="true" applyFont="true" applyBorder="true"/>
    <xf numFmtId="0" fontId="0" fillId="0" borderId="19" xfId="0" applyBorder="true"/>
    <xf numFmtId="10" fontId="48" fillId="24" borderId="19" xfId="0" applyFill="true" applyFont="true" applyNumberFormat="true" applyBorder="true"/>
    <xf numFmtId="0" fontId="49" fillId="18" borderId="0" xfId="0" applyFill="true" applyFont="true"/>
    <xf numFmtId="0" fontId="50" fillId="20" borderId="0" xfId="0" applyFill="true" applyFont="true"/>
    <xf numFmtId="0" fontId="5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2" fillId="24" borderId="19" xfId="0" applyFill="true" applyFont="true" applyBorder="true"/>
    <xf numFmtId="0" fontId="0" fillId="0" borderId="19" xfId="0" applyBorder="true"/>
    <xf numFmtId="10" fontId="53" fillId="24" borderId="19" xfId="0" applyFill="true" applyFont="true" applyNumberFormat="true" applyBorder="true"/>
    <xf numFmtId="0" fontId="54" fillId="18" borderId="0" xfId="0" applyFill="true" applyFont="true"/>
    <xf numFmtId="0" fontId="55" fillId="20" borderId="0" xfId="0" applyFill="true" applyFont="true"/>
    <xf numFmtId="0" fontId="5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7" fillId="24" borderId="19" xfId="0" applyFill="true" applyFont="true" applyBorder="true"/>
    <xf numFmtId="0" fontId="0" fillId="0" borderId="19" xfId="0" applyBorder="true"/>
    <xf numFmtId="10" fontId="58" fillId="24" borderId="19" xfId="0" applyFill="true" applyFont="true" applyNumberFormat="true" applyBorder="true"/>
    <xf numFmtId="0" fontId="59" fillId="18" borderId="0" xfId="0" applyFill="true" applyFont="true"/>
    <xf numFmtId="0" fontId="60" fillId="20" borderId="0" xfId="0" applyFill="true" applyFont="true"/>
    <xf numFmtId="0" fontId="6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2" fillId="24" borderId="19" xfId="0" applyFill="true" applyFont="true" applyBorder="true"/>
    <xf numFmtId="0" fontId="0" fillId="0" borderId="19" xfId="0" applyBorder="true"/>
    <xf numFmtId="10" fontId="63" fillId="24" borderId="19" xfId="0" applyFill="true" applyFont="true" applyNumberFormat="true" applyBorder="true"/>
    <xf numFmtId="0" fontId="64" fillId="18" borderId="0" xfId="0" applyFill="true" applyFont="true"/>
    <xf numFmtId="0" fontId="65" fillId="20" borderId="0" xfId="0" applyFill="true" applyFont="true"/>
    <xf numFmtId="0" fontId="6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7" fillId="24" borderId="19" xfId="0" applyFill="true" applyFont="true" applyBorder="true"/>
    <xf numFmtId="0" fontId="0" fillId="0" borderId="19" xfId="0" applyBorder="true"/>
    <xf numFmtId="10" fontId="68" fillId="24" borderId="19" xfId="0" applyFill="true" applyFont="true" applyNumberFormat="true" applyBorder="true"/>
    <xf numFmtId="0" fontId="69" fillId="18" borderId="0" xfId="0" applyFill="true" applyFont="true"/>
    <xf numFmtId="0" fontId="70" fillId="20" borderId="0" xfId="0" applyFill="true" applyFont="true"/>
    <xf numFmtId="0" fontId="7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2" fillId="24" borderId="19" xfId="0" applyFill="true" applyFont="true" applyBorder="true"/>
    <xf numFmtId="0" fontId="0" fillId="0" borderId="19" xfId="0" applyBorder="true"/>
    <xf numFmtId="10" fontId="73" fillId="24" borderId="19" xfId="0" applyFill="true" applyFont="true" applyNumberFormat="true" applyBorder="true"/>
    <xf numFmtId="0" fontId="74" fillId="18" borderId="0" xfId="0" applyFill="true" applyFont="true"/>
    <xf numFmtId="0" fontId="75" fillId="20" borderId="0" xfId="0" applyFill="true" applyFont="true"/>
    <xf numFmtId="0" fontId="7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7" fillId="24" borderId="19" xfId="0" applyFill="true" applyFont="true" applyBorder="true"/>
    <xf numFmtId="0" fontId="0" fillId="0" borderId="19" xfId="0" applyBorder="true"/>
    <xf numFmtId="10" fontId="78" fillId="24" borderId="19" xfId="0" applyFill="true" applyFont="true" applyNumberFormat="true" applyBorder="true"/>
    <xf numFmtId="0" fontId="79" fillId="18" borderId="0" xfId="0" applyFill="true" applyFont="true"/>
    <xf numFmtId="0" fontId="80" fillId="20" borderId="0" xfId="0" applyFill="true" applyFont="true"/>
    <xf numFmtId="0" fontId="8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2" fillId="24" borderId="19" xfId="0" applyFill="true" applyFont="true" applyBorder="true"/>
    <xf numFmtId="0" fontId="0" fillId="0" borderId="19" xfId="0" applyBorder="true"/>
    <xf numFmtId="10" fontId="83" fillId="24" borderId="19" xfId="0" applyFill="true" applyFont="true" applyNumberFormat="true" applyBorder="true"/>
    <xf numFmtId="0" fontId="84" fillId="18" borderId="0" xfId="0" applyFill="true" applyFont="true"/>
    <xf numFmtId="0" fontId="85" fillId="20" borderId="0" xfId="0" applyFill="true" applyFont="true"/>
    <xf numFmtId="0" fontId="8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7" fillId="24" borderId="19" xfId="0" applyFill="true" applyFont="true" applyBorder="true"/>
    <xf numFmtId="0" fontId="0" fillId="0" borderId="19" xfId="0" applyBorder="true"/>
    <xf numFmtId="10" fontId="88" fillId="24" borderId="19" xfId="0" applyFill="true" applyFont="true" applyNumberFormat="true" applyBorder="true"/>
    <xf numFmtId="0" fontId="89" fillId="18" borderId="0" xfId="0" applyFill="true" applyFont="true"/>
    <xf numFmtId="0" fontId="90" fillId="20" borderId="0" xfId="0" applyFill="true" applyFont="true"/>
    <xf numFmtId="0" fontId="9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2" fillId="24" borderId="19" xfId="0" applyFill="true" applyFont="true" applyBorder="true"/>
    <xf numFmtId="0" fontId="0" fillId="0" borderId="19" xfId="0" applyBorder="true"/>
    <xf numFmtId="10" fontId="93" fillId="24" borderId="19" xfId="0" applyFill="true" applyFont="true" applyNumberFormat="true" applyBorder="true"/>
    <xf numFmtId="0" fontId="94" fillId="18" borderId="0" xfId="0" applyFill="true" applyFont="true"/>
    <xf numFmtId="0" fontId="95" fillId="20" borderId="0" xfId="0" applyFill="true" applyFont="true"/>
    <xf numFmtId="0" fontId="9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7" fillId="24" borderId="19" xfId="0" applyFill="true" applyFont="true" applyBorder="true"/>
    <xf numFmtId="0" fontId="0" fillId="0" borderId="19" xfId="0" applyBorder="true"/>
    <xf numFmtId="10" fontId="98" fillId="24" borderId="19" xfId="0" applyFill="true" applyFont="true" applyNumberFormat="true" applyBorder="true"/>
    <xf numFmtId="0" fontId="99" fillId="18" borderId="0" xfId="0" applyFill="true" applyFont="true"/>
    <xf numFmtId="0" fontId="100" fillId="20" borderId="0" xfId="0" applyFill="true" applyFont="true"/>
    <xf numFmtId="0" fontId="10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2" fillId="24" borderId="19" xfId="0" applyFill="true" applyFont="true" applyBorder="true"/>
    <xf numFmtId="0" fontId="0" fillId="0" borderId="19" xfId="0" applyBorder="true"/>
    <xf numFmtId="10" fontId="103" fillId="24" borderId="19" xfId="0" applyFill="true" applyFont="true" applyNumberFormat="true" applyBorder="true"/>
    <xf numFmtId="0" fontId="104" fillId="18" borderId="0" xfId="0" applyFill="true" applyFont="true"/>
    <xf numFmtId="0" fontId="105" fillId="20" borderId="0" xfId="0" applyFill="true" applyFont="true"/>
    <xf numFmtId="0" fontId="10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7" fillId="24" borderId="19" xfId="0" applyFill="true" applyFont="true" applyBorder="true"/>
    <xf numFmtId="0" fontId="0" fillId="0" borderId="19" xfId="0" applyBorder="true"/>
    <xf numFmtId="10" fontId="108" fillId="24" borderId="19" xfId="0" applyFill="true" applyFont="true" applyNumberFormat="true" applyBorder="true"/>
    <xf numFmtId="0" fontId="109" fillId="18" borderId="0" xfId="0" applyFill="true" applyFont="true"/>
    <xf numFmtId="0" fontId="110" fillId="20" borderId="0" xfId="0" applyFill="true" applyFont="true"/>
    <xf numFmtId="0" fontId="11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2" fillId="24" borderId="19" xfId="0" applyFill="true" applyFont="true" applyBorder="true"/>
    <xf numFmtId="0" fontId="0" fillId="0" borderId="19" xfId="0" applyBorder="true"/>
    <xf numFmtId="10" fontId="113" fillId="24" borderId="19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3051">
        <pm:charStyle Id="1" fontId="0" name="Normal"/>
      </pm:charStyles>
      <pm:colors xmlns:pm="smNativeData" count="5" id="1542563051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numCol="2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3051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6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6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6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CIzODU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1" t="s">
        <v>0</v>
      </c>
    </row>
    <row r="3" spans="3:3">
      <c r="C3" s="401"/>
    </row>
    <row r="4" spans="3:3">
      <c r="C4" s="401"/>
    </row>
    <row r="5" spans="3:3">
      <c r="C5" s="401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2" t="s">
        <v>11</v>
      </c>
      <c r="C16" s="402"/>
      <c r="D16" s="402"/>
      <c r="E16" s="402"/>
      <c r="F16" s="402"/>
      <c r="G16" s="402"/>
      <c r="H16" s="402"/>
      <c r="I16" s="402"/>
      <c r="J16" s="402"/>
      <c r="K16" s="402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3" t="s">
        <v>22</v>
      </c>
      <c r="C23" s="404"/>
      <c r="D23" s="404"/>
      <c r="E23" s="404"/>
      <c r="F23" s="404"/>
      <c r="G23" s="404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4"/>
  <sheetViews>
    <sheetView tabSelected="1" view="normal" workbookViewId="0" zoomScale="85">
      <pane activePane="bottomRight" state="frozen" topLeftCell="K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1" customWidth="true" width="25.571429" collapsed="false"/>
    <col min="12" max="12" customWidth="true" width="22.285714" collapsed="false"/>
    <col min="13" max="13" customWidth="true" width="33.026786" collapsed="false"/>
    <col min="14" max="14" customWidth="true" width="34.026786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4" t="s">
        <v>12</v>
      </c>
      <c r="B1" s="374" t="s">
        <v>25</v>
      </c>
      <c r="C1" s="374" t="s">
        <v>26</v>
      </c>
      <c r="D1" s="374" t="s">
        <v>27</v>
      </c>
      <c r="E1" s="374" t="s">
        <v>28</v>
      </c>
      <c r="F1" s="374" t="s">
        <v>29</v>
      </c>
      <c r="G1" s="374" t="s">
        <v>30</v>
      </c>
      <c r="H1" s="374" t="s">
        <v>31</v>
      </c>
      <c r="I1" s="374" t="s">
        <v>32</v>
      </c>
      <c r="J1" s="374" t="s">
        <v>33</v>
      </c>
      <c r="K1" s="374" t="s">
        <v>34</v>
      </c>
      <c r="L1" s="374" t="s">
        <v>35</v>
      </c>
      <c r="M1" s="374" t="s">
        <v>36</v>
      </c>
      <c r="N1" s="374" t="s">
        <v>37</v>
      </c>
      <c r="O1" s="374" t="s">
        <v>38</v>
      </c>
      <c r="P1" s="374" t="s">
        <v>39</v>
      </c>
      <c r="Q1" s="374" t="s">
        <v>40</v>
      </c>
      <c r="R1" s="374" t="s">
        <v>41</v>
      </c>
      <c r="S1" s="374" t="s">
        <v>42</v>
      </c>
      <c r="T1" s="374" t="s">
        <v>43</v>
      </c>
      <c r="U1" s="374" t="s">
        <v>44</v>
      </c>
      <c r="V1" s="374" t="s">
        <v>45</v>
      </c>
      <c r="W1" s="374" t="s">
        <v>46</v>
      </c>
      <c r="X1" s="374" t="s">
        <v>47</v>
      </c>
      <c r="Y1" s="374" t="s">
        <v>48</v>
      </c>
    </row>
    <row r="2" spans="1:25">
      <c r="A2" s="399" t="s">
        <v>49</v>
      </c>
      <c r="B2" s="395"/>
      <c r="C2" s="398" t="s">
        <v>50</v>
      </c>
      <c r="D2" s="395" t="s">
        <v>51</v>
      </c>
      <c r="E2" s="395" t="s">
        <v>52</v>
      </c>
      <c r="F2" s="395" t="s">
        <v>53</v>
      </c>
      <c r="G2" s="411" t="s">
        <v>305</v>
      </c>
      <c r="H2" s="400"/>
      <c r="I2" s="395"/>
      <c r="J2" s="395"/>
      <c r="K2" s="395" t="str">
        <f>_XLFN.IFERROR(VLOOKUP(J2,Keyword!$C$2:$D$507,2,FALSE),"")</f>
        <v/>
      </c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</row>
    <row r="3" spans="1:25">
      <c r="A3" s="395" t="s">
        <v>54</v>
      </c>
      <c r="B3" s="395" t="s">
        <v>54</v>
      </c>
      <c r="C3" s="395" t="s">
        <v>54</v>
      </c>
      <c r="D3" s="395" t="s">
        <v>54</v>
      </c>
      <c r="E3" s="395" t="s">
        <v>54</v>
      </c>
      <c r="F3" s="395" t="s">
        <v>54</v>
      </c>
      <c r="G3" s="395" t="s">
        <v>305</v>
      </c>
      <c r="H3" s="400" t="s">
        <v>302</v>
      </c>
      <c r="I3" s="395" t="s">
        <v>55</v>
      </c>
      <c r="J3" s="395" t="s">
        <v>56</v>
      </c>
      <c r="K3" s="395" t="str">
        <f>_XLFN.IFERROR(VLOOKUP(J3,Keyword!$C$2:$D$507,2,FALSE),"")</f>
        <v>Go to the specified URL
- Value 1(*): URL of the web page to be opened</v>
      </c>
      <c r="L3" s="395" t="s">
        <v>54</v>
      </c>
      <c r="M3" s="395" t="s">
        <v>54</v>
      </c>
      <c r="N3" s="395" t="s">
        <v>57</v>
      </c>
      <c r="O3" s="395" t="s">
        <v>54</v>
      </c>
      <c r="P3" s="395" t="s">
        <v>54</v>
      </c>
      <c r="Q3" s="395" t="s">
        <v>54</v>
      </c>
      <c r="R3" s="395" t="s">
        <v>54</v>
      </c>
      <c r="S3" s="395" t="s">
        <v>54</v>
      </c>
      <c r="T3" s="395" t="s">
        <v>54</v>
      </c>
      <c r="U3" s="395" t="s">
        <v>54</v>
      </c>
      <c r="V3" s="395" t="s">
        <v>54</v>
      </c>
      <c r="W3" s="395" t="s">
        <v>54</v>
      </c>
      <c r="X3" s="395" t="s">
        <v>54</v>
      </c>
      <c r="Y3" s="395" t="s">
        <v>54</v>
      </c>
    </row>
    <row r="4" spans="1:25">
      <c r="A4" s="395" t="s">
        <v>54</v>
      </c>
      <c r="B4" s="395" t="s">
        <v>54</v>
      </c>
      <c r="C4" s="395" t="s">
        <v>54</v>
      </c>
      <c r="D4" s="395" t="s">
        <v>54</v>
      </c>
      <c r="E4" s="395" t="s">
        <v>54</v>
      </c>
      <c r="F4" s="395" t="s">
        <v>54</v>
      </c>
      <c r="G4" s="395" t="s">
        <v>305</v>
      </c>
      <c r="H4" s="400" t="s">
        <v>303</v>
      </c>
      <c r="I4" s="395" t="s">
        <v>58</v>
      </c>
      <c r="J4" s="395" t="s">
        <v>59</v>
      </c>
      <c r="K4" s="395" t="str">
        <f>_XLFN.IFERROR(VLOOKUP(J4,Keyword!$C$2:$D$507,2,FALSE),"")</f>
        <v>Click on the given element
- Locator(*): Locator of the element to be clicked</v>
      </c>
      <c r="L4" s="395" t="s">
        <v>54</v>
      </c>
      <c r="M4" s="395" t="s">
        <v>60</v>
      </c>
      <c r="N4" s="395" t="s">
        <v>54</v>
      </c>
      <c r="O4" s="395" t="s">
        <v>54</v>
      </c>
      <c r="P4" s="395" t="s">
        <v>54</v>
      </c>
      <c r="Q4" s="395" t="s">
        <v>54</v>
      </c>
      <c r="R4" s="395" t="s">
        <v>54</v>
      </c>
      <c r="S4" s="395" t="s">
        <v>54</v>
      </c>
      <c r="T4" s="395" t="s">
        <v>54</v>
      </c>
      <c r="U4" s="395" t="s">
        <v>54</v>
      </c>
      <c r="V4" s="395" t="s">
        <v>54</v>
      </c>
      <c r="W4" s="395" t="s">
        <v>54</v>
      </c>
      <c r="X4" s="395" t="s">
        <v>54</v>
      </c>
      <c r="Y4" s="395" t="s">
        <v>54</v>
      </c>
    </row>
    <row r="5" spans="1:25">
      <c r="A5" s="399" t="s">
        <v>49</v>
      </c>
      <c r="B5" s="395"/>
      <c r="C5" s="398" t="s">
        <v>61</v>
      </c>
      <c r="D5" s="395" t="s">
        <v>62</v>
      </c>
      <c r="E5" s="395" t="s">
        <v>52</v>
      </c>
      <c r="F5" s="395" t="s">
        <v>53</v>
      </c>
      <c r="G5" s="419" t="s">
        <v>305</v>
      </c>
      <c r="H5" s="400"/>
      <c r="I5" s="395"/>
      <c r="J5" s="395"/>
      <c r="K5" s="395" t="str">
        <f>_XLFN.IFERROR(VLOOKUP(J5,Keyword!$C$2:$D$507,2,FALSE),"")</f>
        <v/>
      </c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</row>
    <row r="6" spans="1:25">
      <c r="A6" s="395" t="s">
        <v>54</v>
      </c>
      <c r="B6" s="395" t="s">
        <v>54</v>
      </c>
      <c r="C6" s="395" t="s">
        <v>54</v>
      </c>
      <c r="D6" s="395" t="s">
        <v>54</v>
      </c>
      <c r="E6" s="395" t="s">
        <v>54</v>
      </c>
      <c r="F6" s="395" t="s">
        <v>54</v>
      </c>
      <c r="G6" s="395" t="s">
        <v>305</v>
      </c>
      <c r="H6" s="400" t="s">
        <v>302</v>
      </c>
      <c r="I6" s="395" t="s">
        <v>63</v>
      </c>
      <c r="J6" s="395" t="s">
        <v>64</v>
      </c>
      <c r="K6" s="395" t="str">
        <f>_XLFN.IFERROR(VLOOKUP(J6,Keyword!$C$2:$D$507,2,FALSE),"")</f>
        <v>Switch window by the specified title
- Value 1(*): Title of the window to be switched to</v>
      </c>
      <c r="L6" s="395" t="s">
        <v>54</v>
      </c>
      <c r="M6" s="395" t="s">
        <v>54</v>
      </c>
      <c r="N6" s="395" t="s">
        <v>65</v>
      </c>
      <c r="O6" s="395" t="s">
        <v>54</v>
      </c>
      <c r="P6" s="395" t="s">
        <v>54</v>
      </c>
      <c r="Q6" s="395" t="s">
        <v>54</v>
      </c>
      <c r="R6" s="395" t="s">
        <v>54</v>
      </c>
      <c r="S6" s="395" t="s">
        <v>54</v>
      </c>
      <c r="T6" s="395" t="s">
        <v>54</v>
      </c>
      <c r="U6" s="395" t="s">
        <v>54</v>
      </c>
      <c r="V6" s="395" t="s">
        <v>54</v>
      </c>
      <c r="W6" s="395" t="s">
        <v>54</v>
      </c>
      <c r="X6" s="395" t="s">
        <v>54</v>
      </c>
      <c r="Y6" s="395" t="s">
        <v>54</v>
      </c>
    </row>
    <row r="7" spans="1:25">
      <c r="A7" s="395" t="s">
        <v>54</v>
      </c>
      <c r="B7" s="395" t="s">
        <v>54</v>
      </c>
      <c r="C7" s="395" t="s">
        <v>54</v>
      </c>
      <c r="D7" s="395" t="s">
        <v>54</v>
      </c>
      <c r="E7" s="395" t="s">
        <v>54</v>
      </c>
      <c r="F7" s="395" t="s">
        <v>54</v>
      </c>
      <c r="G7" s="395" t="s">
        <v>305</v>
      </c>
      <c r="H7" s="400" t="s">
        <v>304</v>
      </c>
      <c r="I7" s="395" t="s">
        <v>66</v>
      </c>
      <c r="J7" s="395" t="s">
        <v>67</v>
      </c>
      <c r="K7" s="395" t="str">
        <f>_XLFN.IFERROR(VLOOKUP(J7,Keyword!$C$2:$D$507,2,FALSE),"")</f>
        <v>Verify text of label with specified value
- Locator(*): Locator of the label to be verified
- Value 1(*): The value will be compared to the text of label</v>
      </c>
      <c r="L7" s="395" t="s">
        <v>54</v>
      </c>
      <c r="M7" s="395" t="s">
        <v>68</v>
      </c>
      <c r="N7" s="395" t="s">
        <v>69</v>
      </c>
      <c r="O7" s="395" t="s">
        <v>54</v>
      </c>
      <c r="P7" s="395" t="s">
        <v>54</v>
      </c>
      <c r="Q7" s="395" t="s">
        <v>54</v>
      </c>
      <c r="R7" s="395" t="s">
        <v>54</v>
      </c>
      <c r="S7" s="395" t="s">
        <v>54</v>
      </c>
      <c r="T7" s="395" t="s">
        <v>54</v>
      </c>
      <c r="U7" s="395" t="s">
        <v>54</v>
      </c>
      <c r="V7" s="395" t="s">
        <v>54</v>
      </c>
      <c r="W7" s="395" t="s">
        <v>54</v>
      </c>
      <c r="X7" s="395" t="s">
        <v>54</v>
      </c>
      <c r="Y7" s="395" t="s">
        <v>54</v>
      </c>
    </row>
    <row r="8" spans="1:25">
      <c r="A8" s="399" t="s">
        <v>49</v>
      </c>
      <c r="B8" s="395"/>
      <c r="C8" s="398" t="s">
        <v>70</v>
      </c>
      <c r="D8" s="395" t="s">
        <v>71</v>
      </c>
      <c r="E8" s="395" t="s">
        <v>52</v>
      </c>
      <c r="F8" s="395" t="s">
        <v>53</v>
      </c>
      <c r="G8" s="427" t="s">
        <v>305</v>
      </c>
      <c r="H8" s="400"/>
      <c r="I8" s="395"/>
      <c r="J8" s="395"/>
      <c r="K8" s="395" t="str">
        <f>_XLFN.IFERROR(VLOOKUP(J8,Keyword!$C$2:$D$507,2,FALSE),"")</f>
        <v/>
      </c>
      <c r="L8" s="395"/>
      <c r="M8" s="395"/>
      <c r="N8" s="395"/>
      <c r="O8" s="395"/>
      <c r="P8" s="395"/>
      <c r="Q8" s="395"/>
      <c r="R8" s="395"/>
      <c r="S8" s="395"/>
      <c r="T8" s="395"/>
      <c r="U8" s="395"/>
      <c r="V8" s="395"/>
      <c r="W8" s="395"/>
      <c r="X8" s="395"/>
      <c r="Y8" s="395"/>
    </row>
    <row r="9" spans="1:25">
      <c r="A9" s="395" t="s">
        <v>54</v>
      </c>
      <c r="B9" s="395" t="s">
        <v>54</v>
      </c>
      <c r="C9" s="395" t="s">
        <v>54</v>
      </c>
      <c r="D9" s="395" t="s">
        <v>54</v>
      </c>
      <c r="E9" s="395" t="s">
        <v>54</v>
      </c>
      <c r="F9" s="395" t="s">
        <v>54</v>
      </c>
      <c r="G9" s="395" t="s">
        <v>305</v>
      </c>
      <c r="H9" s="400" t="s">
        <v>302</v>
      </c>
      <c r="I9" s="395" t="s">
        <v>72</v>
      </c>
      <c r="J9" s="395" t="s">
        <v>73</v>
      </c>
      <c r="K9" s="395" t="str">
        <f>_XLFN.IFERROR(VLOOKUP(J9,Keyword!$C$2:$D$507,2,FALSE),"")</f>
        <v>Open a new window</v>
      </c>
      <c r="L9" s="395" t="s">
        <v>54</v>
      </c>
      <c r="M9" s="395" t="s">
        <v>54</v>
      </c>
      <c r="N9" s="395" t="s">
        <v>54</v>
      </c>
      <c r="O9" s="395" t="s">
        <v>54</v>
      </c>
      <c r="P9" s="395" t="s">
        <v>54</v>
      </c>
      <c r="Q9" s="395" t="s">
        <v>54</v>
      </c>
      <c r="R9" s="395" t="s">
        <v>54</v>
      </c>
      <c r="S9" s="395" t="s">
        <v>54</v>
      </c>
      <c r="T9" s="395" t="s">
        <v>54</v>
      </c>
      <c r="U9" s="395" t="s">
        <v>54</v>
      </c>
      <c r="V9" s="395" t="s">
        <v>54</v>
      </c>
      <c r="W9" s="395" t="s">
        <v>54</v>
      </c>
      <c r="X9" s="395" t="s">
        <v>54</v>
      </c>
      <c r="Y9" s="395" t="s">
        <v>54</v>
      </c>
    </row>
    <row r="10" spans="1:25">
      <c r="A10" s="395" t="s">
        <v>54</v>
      </c>
      <c r="B10" s="395" t="s">
        <v>54</v>
      </c>
      <c r="C10" s="395" t="s">
        <v>54</v>
      </c>
      <c r="D10" s="395" t="s">
        <v>54</v>
      </c>
      <c r="E10" s="395" t="s">
        <v>54</v>
      </c>
      <c r="F10" s="395" t="s">
        <v>54</v>
      </c>
      <c r="G10" s="395" t="s">
        <v>305</v>
      </c>
      <c r="H10" s="400" t="s">
        <v>304</v>
      </c>
      <c r="I10" s="395" t="s">
        <v>55</v>
      </c>
      <c r="J10" s="395" t="s">
        <v>56</v>
      </c>
      <c r="K10" s="395" t="str">
        <f>_XLFN.IFERROR(VLOOKUP(J10,Keyword!$C$2:$D$507,2,FALSE),"")</f>
        <v>Go to the specified URL
- Value 1(*): URL of the web page to be opened</v>
      </c>
      <c r="L10" s="395" t="s">
        <v>54</v>
      </c>
      <c r="M10" s="395" t="s">
        <v>54</v>
      </c>
      <c r="N10" s="395" t="s">
        <v>74</v>
      </c>
      <c r="O10" s="395" t="s">
        <v>54</v>
      </c>
      <c r="P10" s="395" t="s">
        <v>54</v>
      </c>
      <c r="Q10" s="395" t="s">
        <v>54</v>
      </c>
      <c r="R10" s="395" t="s">
        <v>54</v>
      </c>
      <c r="S10" s="395" t="s">
        <v>54</v>
      </c>
      <c r="T10" s="395" t="s">
        <v>54</v>
      </c>
      <c r="U10" s="395" t="s">
        <v>54</v>
      </c>
      <c r="V10" s="395" t="s">
        <v>54</v>
      </c>
      <c r="W10" s="395" t="s">
        <v>54</v>
      </c>
      <c r="X10" s="395" t="s">
        <v>54</v>
      </c>
      <c r="Y10" s="395" t="s">
        <v>54</v>
      </c>
    </row>
    <row r="11" spans="1:25">
      <c r="A11" s="399" t="s">
        <v>49</v>
      </c>
      <c r="B11" s="395"/>
      <c r="C11" s="398" t="s">
        <v>75</v>
      </c>
      <c r="D11" s="395" t="s">
        <v>76</v>
      </c>
      <c r="E11" s="395" t="s">
        <v>52</v>
      </c>
      <c r="F11" s="395" t="s">
        <v>53</v>
      </c>
      <c r="G11" s="435" t="s">
        <v>305</v>
      </c>
      <c r="H11" s="400"/>
      <c r="I11" s="395"/>
      <c r="J11" s="395"/>
      <c r="K11" s="395" t="str">
        <f>_XLFN.IFERROR(VLOOKUP(J11,Keyword!$C$2:$D$507,2,FALSE),"")</f>
        <v/>
      </c>
      <c r="L11" s="395"/>
      <c r="M11" s="395"/>
      <c r="N11" s="395"/>
      <c r="O11" s="395"/>
      <c r="P11" s="395"/>
      <c r="Q11" s="395"/>
      <c r="R11" s="395"/>
      <c r="S11" s="395"/>
      <c r="T11" s="395"/>
      <c r="U11" s="395"/>
      <c r="V11" s="395"/>
      <c r="W11" s="395"/>
      <c r="X11" s="395"/>
      <c r="Y11" s="395"/>
    </row>
    <row r="12" spans="1:25">
      <c r="A12" s="395" t="s">
        <v>54</v>
      </c>
      <c r="B12" s="395" t="s">
        <v>54</v>
      </c>
      <c r="C12" s="395" t="s">
        <v>54</v>
      </c>
      <c r="D12" s="395" t="s">
        <v>54</v>
      </c>
      <c r="E12" s="395" t="s">
        <v>54</v>
      </c>
      <c r="F12" s="395" t="s">
        <v>54</v>
      </c>
      <c r="G12" s="395" t="s">
        <v>305</v>
      </c>
      <c r="H12" s="400" t="s">
        <v>302</v>
      </c>
      <c r="I12" s="395" t="s">
        <v>76</v>
      </c>
      <c r="J12" s="395" t="s">
        <v>77</v>
      </c>
      <c r="K12" s="395"/>
      <c r="L12" s="395" t="s">
        <v>54</v>
      </c>
      <c r="M12" s="395" t="s">
        <v>54</v>
      </c>
      <c r="N12" s="395" t="s">
        <v>54</v>
      </c>
      <c r="O12" s="395" t="s">
        <v>54</v>
      </c>
      <c r="P12" s="395" t="s">
        <v>54</v>
      </c>
      <c r="Q12" s="395" t="s">
        <v>54</v>
      </c>
      <c r="R12" s="395" t="s">
        <v>54</v>
      </c>
      <c r="S12" s="395" t="s">
        <v>54</v>
      </c>
      <c r="T12" s="395" t="s">
        <v>54</v>
      </c>
      <c r="U12" s="395" t="s">
        <v>54</v>
      </c>
      <c r="V12" s="395" t="s">
        <v>54</v>
      </c>
      <c r="W12" s="395" t="s">
        <v>54</v>
      </c>
      <c r="X12" s="395" t="s">
        <v>54</v>
      </c>
      <c r="Y12" s="395" t="s">
        <v>54</v>
      </c>
    </row>
    <row r="13" spans="1:25">
      <c r="A13" s="395" t="s">
        <v>54</v>
      </c>
      <c r="B13" s="395" t="s">
        <v>54</v>
      </c>
      <c r="C13" s="395" t="s">
        <v>54</v>
      </c>
      <c r="D13" s="395" t="s">
        <v>54</v>
      </c>
      <c r="E13" s="395" t="s">
        <v>54</v>
      </c>
      <c r="F13" s="395" t="s">
        <v>54</v>
      </c>
      <c r="G13" s="395" t="s">
        <v>305</v>
      </c>
      <c r="H13" s="400" t="s">
        <v>304</v>
      </c>
      <c r="I13" s="395" t="s">
        <v>78</v>
      </c>
      <c r="J13" s="395" t="s">
        <v>67</v>
      </c>
      <c r="K13" s="395" t="str">
        <f>_XLFN.IFERROR(VLOOKUP(J13,Keyword!$C$2:$D$507,2,FALSE),"")</f>
        <v>Verify text of label with specified value
- Locator(*): Locator of the label to be verified
- Value 1(*): The value will be compared to the text of label</v>
      </c>
      <c r="L13" s="395" t="s">
        <v>54</v>
      </c>
      <c r="M13" s="395" t="s">
        <v>79</v>
      </c>
      <c r="N13" s="395" t="s">
        <v>80</v>
      </c>
      <c r="O13" s="395" t="s">
        <v>54</v>
      </c>
      <c r="P13" s="395" t="s">
        <v>54</v>
      </c>
      <c r="Q13" s="395" t="s">
        <v>54</v>
      </c>
      <c r="R13" s="395" t="s">
        <v>54</v>
      </c>
      <c r="S13" s="395" t="s">
        <v>54</v>
      </c>
      <c r="T13" s="395" t="s">
        <v>54</v>
      </c>
      <c r="U13" s="395" t="s">
        <v>54</v>
      </c>
      <c r="V13" s="395" t="s">
        <v>54</v>
      </c>
      <c r="W13" s="395" t="s">
        <v>54</v>
      </c>
      <c r="X13" s="395" t="s">
        <v>54</v>
      </c>
      <c r="Y13" s="395" t="s">
        <v>54</v>
      </c>
    </row>
    <row r="14" spans="1:25">
      <c r="A14" s="397" t="s">
        <v>54</v>
      </c>
      <c r="B14" s="397" t="s">
        <v>54</v>
      </c>
      <c r="C14" s="394" t="s">
        <v>81</v>
      </c>
      <c r="D14" s="394" t="s">
        <v>54</v>
      </c>
      <c r="E14" s="394" t="s">
        <v>54</v>
      </c>
      <c r="F14" s="394" t="s">
        <v>53</v>
      </c>
      <c r="G14" s="397" t="s">
        <v>54</v>
      </c>
      <c r="H14" s="397" t="s">
        <v>54</v>
      </c>
      <c r="I14" s="397" t="s">
        <v>54</v>
      </c>
      <c r="J14" s="397"/>
      <c r="K14" s="397"/>
      <c r="L14" s="397" t="s">
        <v>54</v>
      </c>
      <c r="M14" s="397" t="s">
        <v>54</v>
      </c>
      <c r="N14" s="397" t="s">
        <v>54</v>
      </c>
      <c r="O14" s="397" t="s">
        <v>54</v>
      </c>
      <c r="P14" s="397" t="s">
        <v>54</v>
      </c>
      <c r="Q14" s="397" t="s">
        <v>54</v>
      </c>
      <c r="R14" s="397" t="s">
        <v>54</v>
      </c>
      <c r="S14" s="397" t="s">
        <v>54</v>
      </c>
      <c r="T14" s="397"/>
      <c r="U14" s="397"/>
      <c r="V14" s="397"/>
      <c r="W14" s="397"/>
      <c r="X14" s="397"/>
      <c r="Y14" s="397"/>
    </row>
  </sheetData>
  <autoFilter ref="A1:Y14"/>
  <dataValidations count="2">
    <dataValidation allowBlank="1" errorStyle="stop" operator="between" showInputMessage="1" sqref="E2 E5 E8 E11" type="list" view="0">
      <formula1>"High, Medium, Low"</formula1>
    </dataValidation>
    <dataValidation allowBlank="1" errorStyle="stop" operator="between" showInputMessage="1" sqref="J2:J13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view="normal" workbookViewId="0" zoomScale="85">
      <selection activeCell="E20" sqref="E20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/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1"/>
      <c r="B1" s="381"/>
      <c r="C1" s="381"/>
      <c r="D1" s="382"/>
      <c r="E1" s="383"/>
      <c r="F1" s="393" t="s">
        <v>82</v>
      </c>
      <c r="G1" s="396" t="s">
        <v>307</v>
      </c>
      <c r="H1" s="384"/>
      <c r="I1" s="384"/>
      <c r="J1" s="383"/>
    </row>
    <row customHeight="1" ht="15" r="2" spans="1:18">
      <c r="A2" s="381"/>
      <c r="B2" s="381"/>
      <c r="C2" s="381"/>
      <c r="D2" s="382"/>
      <c r="E2" s="383"/>
      <c r="F2" s="393" t="s">
        <v>83</v>
      </c>
      <c r="G2" s="396" t="s">
        <v>308</v>
      </c>
      <c r="H2" s="384"/>
      <c r="I2" s="384"/>
      <c r="J2" s="383"/>
    </row>
    <row customHeight="1" ht="15" r="3" spans="1:18">
      <c r="A3" s="381"/>
      <c r="B3" s="405" t="s">
        <v>84</v>
      </c>
      <c r="C3" s="405"/>
      <c r="D3" s="405"/>
      <c r="E3" s="405"/>
      <c r="F3" s="393" t="s">
        <v>85</v>
      </c>
      <c r="G3" s="396" t="s">
        <v>309</v>
      </c>
      <c r="H3" s="384"/>
      <c r="I3" s="384"/>
      <c r="J3" s="383"/>
    </row>
    <row customHeight="1" ht="12.75" r="4" spans="1:18">
      <c r="A4" s="381"/>
      <c r="B4" s="405"/>
      <c r="C4" s="405"/>
      <c r="D4" s="405"/>
      <c r="E4" s="405"/>
      <c r="F4" s="384"/>
      <c r="G4" s="384"/>
      <c r="H4" s="384"/>
      <c r="I4" s="384"/>
      <c r="J4" s="383"/>
    </row>
    <row customHeight="1" ht="12.75" r="5" spans="1:18">
      <c r="A5" s="381"/>
      <c r="B5" s="405"/>
      <c r="C5" s="405"/>
      <c r="D5" s="405"/>
      <c r="E5" s="405"/>
      <c r="F5" s="384"/>
      <c r="G5" s="384"/>
      <c r="H5" s="384"/>
      <c r="I5" s="384"/>
      <c r="J5" s="383"/>
    </row>
    <row customHeight="1" ht="12.75" r="6" spans="1:18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8">
      <c r="A7" s="381"/>
      <c r="B7" s="406" t="s">
        <v>1</v>
      </c>
      <c r="C7" s="407"/>
      <c r="D7" s="408"/>
      <c r="E7" s="408"/>
      <c r="F7" s="384"/>
      <c r="G7" s="384"/>
      <c r="H7" s="393" t="s">
        <v>86</v>
      </c>
      <c r="I7" s="393" t="s">
        <v>87</v>
      </c>
      <c r="J7" s="383"/>
    </row>
    <row customHeight="1" ht="15" r="8" spans="1:18">
      <c r="A8" s="381"/>
      <c r="B8" s="406" t="s">
        <v>88</v>
      </c>
      <c r="C8" s="407"/>
      <c r="D8" s="408"/>
      <c r="E8" s="408"/>
      <c r="F8" s="384"/>
      <c r="G8" s="384"/>
      <c r="H8" s="387">
        <f>H13</f>
      </c>
      <c r="I8" s="387">
        <f>I13</f>
      </c>
      <c r="J8" s="383"/>
    </row>
    <row customHeight="1" ht="12.75" r="9" spans="1:18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8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8">
      <c r="A11" s="385"/>
      <c r="B11" s="393" t="s">
        <v>12</v>
      </c>
      <c r="C11" s="393" t="s">
        <v>86</v>
      </c>
      <c r="D11" s="393" t="s">
        <v>87</v>
      </c>
      <c r="E11" s="393" t="s">
        <v>89</v>
      </c>
      <c r="F11" s="393" t="s">
        <v>90</v>
      </c>
      <c r="G11" s="393" t="s">
        <v>91</v>
      </c>
      <c r="H11" s="393" t="s">
        <v>92</v>
      </c>
      <c r="I11" s="393" t="s">
        <v>93</v>
      </c>
      <c r="J11" s="381"/>
    </row>
    <row customHeight="1" ht="13.50" r="12" spans="1:18">
      <c r="A12" s="385"/>
      <c r="B12" s="505" t="s">
        <v>49</v>
      </c>
      <c r="C12" s="446">
        <f>COUNTIFS(TC!$A$2:$A$65000,B12,TC!$G$2:$G$65000,"PASS")</f>
      </c>
      <c r="D12" s="454">
        <f>COUNTIFS(TC!$A$2:$A$65000,B12,TC!$G$2:$G$65000,"FAIL")</f>
      </c>
      <c r="E12" s="462">
        <f>COUNTIFS(TC!$A$2:$A$65000,B12,TC!$G$2:$G$65000,"SKIP")</f>
      </c>
      <c r="F12" s="470">
        <f>COUNTIF(TC!$A$2:$A$64788,B12)</f>
      </c>
      <c r="G12" s="479">
        <f>IF(F12=0,0,(C12+D12)/F12)</f>
      </c>
      <c r="H12" s="487">
        <f>IF((F12-E12)=0,0,C12/(F12-E12))</f>
      </c>
      <c r="I12" s="495">
        <f>IF((F12-E12)=0,0,D12/(F12-E12))</f>
      </c>
      <c r="J12" s="381"/>
    </row>
    <row customHeight="1" ht="13.50" r="13" spans="1:18">
      <c r="A13" s="385"/>
      <c r="B13" s="512" t="s">
        <v>306</v>
      </c>
      <c r="C13" s="520">
        <f>SUM(C12:C12)</f>
      </c>
      <c r="D13" s="528">
        <f>SUM(D12:D12)</f>
      </c>
      <c r="E13" s="536">
        <f>SUM(E12:E12)</f>
      </c>
      <c r="F13" s="544">
        <f>SUM(F12:F12)</f>
      </c>
      <c r="G13" s="554">
        <f>IF(F13=0,0,(C13+D13)/F13)</f>
      </c>
      <c r="H13" s="562">
        <f>IF((F13-E13)=0,0,(C13)/(F13-E13))</f>
      </c>
      <c r="I13" s="570">
        <f>IF((F13-E13)=0,0,(D13)/(F13-E13))</f>
      </c>
      <c r="J13" s="381"/>
    </row>
    <row customHeight="1" ht="19.50" r="14" spans="1:18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8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8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8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drawing r:id="rId1"/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3.0" collapsed="false"/>
  </cols>
  <sheetData>
    <row r="1" spans="1:4">
      <c r="A1" s="393" t="s">
        <v>94</v>
      </c>
      <c r="B1" s="393" t="s">
        <v>35</v>
      </c>
      <c r="C1" s="393" t="s">
        <v>33</v>
      </c>
      <c r="D1" s="393" t="s">
        <v>95</v>
      </c>
    </row>
    <row r="2" spans="1:4">
      <c r="A2" s="409" t="s">
        <v>96</v>
      </c>
      <c r="B2" s="409" t="s">
        <v>97</v>
      </c>
      <c r="C2" s="409" t="s">
        <v>98</v>
      </c>
      <c r="D2" s="410" t="s">
        <v>99</v>
      </c>
    </row>
    <row r="3" spans="1:4">
      <c r="A3" s="409" t="s">
        <v>96</v>
      </c>
      <c r="B3" s="409" t="s">
        <v>97</v>
      </c>
      <c r="C3" s="409" t="s">
        <v>100</v>
      </c>
      <c r="D3" s="410" t="s">
        <v>101</v>
      </c>
    </row>
    <row r="4" spans="1:4">
      <c r="A4" s="409" t="s">
        <v>96</v>
      </c>
      <c r="B4" s="409" t="s">
        <v>97</v>
      </c>
      <c r="C4" s="409" t="s">
        <v>102</v>
      </c>
      <c r="D4" s="410" t="s">
        <v>103</v>
      </c>
    </row>
    <row r="5" spans="1:4">
      <c r="A5" s="409" t="s">
        <v>96</v>
      </c>
      <c r="B5" s="409" t="s">
        <v>97</v>
      </c>
      <c r="C5" s="409" t="s">
        <v>104</v>
      </c>
      <c r="D5" s="410" t="s">
        <v>105</v>
      </c>
    </row>
    <row r="6" spans="1:4">
      <c r="A6" s="409" t="s">
        <v>96</v>
      </c>
      <c r="B6" s="409" t="s">
        <v>106</v>
      </c>
      <c r="C6" s="409" t="s">
        <v>56</v>
      </c>
      <c r="D6" s="410" t="s">
        <v>107</v>
      </c>
    </row>
    <row r="7" spans="1:4">
      <c r="A7" s="409" t="s">
        <v>96</v>
      </c>
      <c r="B7" s="409" t="s">
        <v>106</v>
      </c>
      <c r="C7" s="409" t="s">
        <v>108</v>
      </c>
      <c r="D7" s="410" t="s">
        <v>109</v>
      </c>
    </row>
    <row r="8" spans="1:4">
      <c r="A8" s="409" t="s">
        <v>96</v>
      </c>
      <c r="B8" s="409" t="s">
        <v>106</v>
      </c>
      <c r="C8" s="409" t="s">
        <v>110</v>
      </c>
      <c r="D8" s="410" t="s">
        <v>111</v>
      </c>
    </row>
    <row r="9" spans="1:4">
      <c r="A9" s="409" t="s">
        <v>96</v>
      </c>
      <c r="B9" s="409" t="s">
        <v>106</v>
      </c>
      <c r="C9" s="409" t="s">
        <v>112</v>
      </c>
      <c r="D9" s="410" t="s">
        <v>113</v>
      </c>
    </row>
    <row r="10" spans="1:4">
      <c r="A10" s="409" t="s">
        <v>96</v>
      </c>
      <c r="B10" s="409" t="s">
        <v>106</v>
      </c>
      <c r="C10" s="409" t="s">
        <v>114</v>
      </c>
      <c r="D10" s="410" t="s">
        <v>115</v>
      </c>
    </row>
    <row r="11" spans="1:4">
      <c r="A11" s="409" t="s">
        <v>96</v>
      </c>
      <c r="B11" s="409" t="s">
        <v>116</v>
      </c>
      <c r="C11" s="409" t="s">
        <v>117</v>
      </c>
      <c r="D11" s="410" t="s">
        <v>118</v>
      </c>
    </row>
    <row r="12" spans="1:4">
      <c r="A12" s="409" t="s">
        <v>96</v>
      </c>
      <c r="B12" s="409" t="s">
        <v>116</v>
      </c>
      <c r="C12" s="409" t="s">
        <v>119</v>
      </c>
      <c r="D12" s="410" t="s">
        <v>120</v>
      </c>
    </row>
    <row r="13" spans="1:4">
      <c r="A13" s="409" t="s">
        <v>96</v>
      </c>
      <c r="B13" s="409" t="s">
        <v>116</v>
      </c>
      <c r="C13" s="409" t="s">
        <v>67</v>
      </c>
      <c r="D13" s="410" t="s">
        <v>121</v>
      </c>
    </row>
    <row r="14" spans="1:4">
      <c r="A14" s="409" t="s">
        <v>96</v>
      </c>
      <c r="B14" s="409" t="s">
        <v>116</v>
      </c>
      <c r="C14" s="409" t="s">
        <v>122</v>
      </c>
      <c r="D14" s="410" t="s">
        <v>123</v>
      </c>
    </row>
    <row r="15" spans="1:4">
      <c r="A15" s="409" t="s">
        <v>96</v>
      </c>
      <c r="B15" s="409" t="s">
        <v>116</v>
      </c>
      <c r="C15" s="409" t="s">
        <v>124</v>
      </c>
      <c r="D15" s="410" t="s">
        <v>125</v>
      </c>
    </row>
    <row r="16" spans="1:4">
      <c r="A16" s="409" t="s">
        <v>96</v>
      </c>
      <c r="B16" s="409" t="s">
        <v>116</v>
      </c>
      <c r="C16" s="409" t="s">
        <v>126</v>
      </c>
      <c r="D16" s="410" t="s">
        <v>127</v>
      </c>
    </row>
    <row r="17" spans="1:4">
      <c r="A17" s="409" t="s">
        <v>96</v>
      </c>
      <c r="B17" s="409" t="s">
        <v>128</v>
      </c>
      <c r="C17" s="409" t="s">
        <v>129</v>
      </c>
      <c r="D17" s="410" t="s">
        <v>130</v>
      </c>
    </row>
    <row r="18" spans="1:4">
      <c r="A18" s="409" t="s">
        <v>96</v>
      </c>
      <c r="B18" s="409" t="s">
        <v>128</v>
      </c>
      <c r="C18" s="409" t="s">
        <v>131</v>
      </c>
      <c r="D18" s="410" t="s">
        <v>132</v>
      </c>
    </row>
    <row r="19" spans="1:4">
      <c r="A19" s="409" t="s">
        <v>96</v>
      </c>
      <c r="B19" s="409" t="s">
        <v>128</v>
      </c>
      <c r="C19" s="409" t="s">
        <v>133</v>
      </c>
      <c r="D19" s="410" t="s">
        <v>134</v>
      </c>
    </row>
    <row r="20" spans="1:4">
      <c r="A20" s="409" t="s">
        <v>96</v>
      </c>
      <c r="B20" s="409" t="s">
        <v>128</v>
      </c>
      <c r="C20" s="409" t="s">
        <v>135</v>
      </c>
      <c r="D20" s="410" t="s">
        <v>136</v>
      </c>
    </row>
    <row r="21" spans="1:4">
      <c r="A21" s="409" t="s">
        <v>96</v>
      </c>
      <c r="B21" s="409" t="s">
        <v>137</v>
      </c>
      <c r="C21" s="409" t="s">
        <v>138</v>
      </c>
      <c r="D21" s="410" t="s">
        <v>139</v>
      </c>
    </row>
    <row r="22" spans="1:4">
      <c r="A22" s="409" t="s">
        <v>96</v>
      </c>
      <c r="B22" s="409" t="s">
        <v>137</v>
      </c>
      <c r="C22" s="409" t="s">
        <v>140</v>
      </c>
      <c r="D22" s="410" t="s">
        <v>141</v>
      </c>
    </row>
    <row r="23" spans="1:4">
      <c r="A23" s="409" t="s">
        <v>96</v>
      </c>
      <c r="B23" s="409" t="s">
        <v>137</v>
      </c>
      <c r="C23" s="409" t="s">
        <v>142</v>
      </c>
      <c r="D23" s="410" t="s">
        <v>143</v>
      </c>
    </row>
    <row r="24" spans="1:4">
      <c r="A24" s="409" t="s">
        <v>96</v>
      </c>
      <c r="B24" s="409" t="s">
        <v>137</v>
      </c>
      <c r="C24" s="409" t="s">
        <v>144</v>
      </c>
      <c r="D24" s="410" t="s">
        <v>145</v>
      </c>
    </row>
    <row r="25" spans="1:4">
      <c r="A25" s="409" t="s">
        <v>96</v>
      </c>
      <c r="B25" s="409" t="s">
        <v>146</v>
      </c>
      <c r="C25" s="409" t="s">
        <v>147</v>
      </c>
      <c r="D25" s="410" t="s">
        <v>148</v>
      </c>
    </row>
    <row r="26" spans="1:4">
      <c r="A26" s="409" t="s">
        <v>96</v>
      </c>
      <c r="B26" s="409" t="s">
        <v>146</v>
      </c>
      <c r="C26" s="409" t="s">
        <v>149</v>
      </c>
      <c r="D26" s="410" t="s">
        <v>150</v>
      </c>
    </row>
    <row r="27" spans="1:4">
      <c r="A27" s="409" t="s">
        <v>96</v>
      </c>
      <c r="B27" s="409" t="s">
        <v>146</v>
      </c>
      <c r="C27" s="409" t="s">
        <v>151</v>
      </c>
      <c r="D27" s="410" t="s">
        <v>152</v>
      </c>
    </row>
    <row r="28" spans="1:4">
      <c r="A28" s="409" t="s">
        <v>96</v>
      </c>
      <c r="B28" s="409" t="s">
        <v>146</v>
      </c>
      <c r="C28" s="409" t="s">
        <v>153</v>
      </c>
      <c r="D28" s="410" t="s">
        <v>154</v>
      </c>
    </row>
    <row r="29" spans="1:4">
      <c r="A29" s="409" t="s">
        <v>96</v>
      </c>
      <c r="B29" s="409" t="s">
        <v>155</v>
      </c>
      <c r="C29" s="409" t="s">
        <v>156</v>
      </c>
      <c r="D29" s="410" t="s">
        <v>157</v>
      </c>
    </row>
    <row r="30" spans="1:4">
      <c r="A30" s="409" t="s">
        <v>96</v>
      </c>
      <c r="B30" s="409" t="s">
        <v>155</v>
      </c>
      <c r="C30" s="409" t="s">
        <v>158</v>
      </c>
      <c r="D30" s="410" t="s">
        <v>159</v>
      </c>
    </row>
    <row r="31" spans="1:4">
      <c r="A31" s="409" t="s">
        <v>96</v>
      </c>
      <c r="B31" s="409" t="s">
        <v>155</v>
      </c>
      <c r="C31" s="409" t="s">
        <v>160</v>
      </c>
      <c r="D31" s="410" t="s">
        <v>161</v>
      </c>
    </row>
    <row r="32" spans="1:4">
      <c r="A32" s="409" t="s">
        <v>96</v>
      </c>
      <c r="B32" s="409" t="s">
        <v>155</v>
      </c>
      <c r="C32" s="409" t="s">
        <v>162</v>
      </c>
      <c r="D32" s="410" t="s">
        <v>163</v>
      </c>
    </row>
    <row r="33" spans="1:4">
      <c r="A33" s="409" t="s">
        <v>96</v>
      </c>
      <c r="B33" s="409" t="s">
        <v>164</v>
      </c>
      <c r="C33" s="409" t="s">
        <v>165</v>
      </c>
      <c r="D33" s="410" t="s">
        <v>166</v>
      </c>
    </row>
    <row r="34" spans="1:4">
      <c r="A34" s="409" t="s">
        <v>96</v>
      </c>
      <c r="B34" s="409" t="s">
        <v>164</v>
      </c>
      <c r="C34" s="409" t="s">
        <v>167</v>
      </c>
      <c r="D34" s="410" t="s">
        <v>168</v>
      </c>
    </row>
    <row r="35" spans="1:4">
      <c r="A35" s="409" t="s">
        <v>96</v>
      </c>
      <c r="B35" s="409" t="s">
        <v>164</v>
      </c>
      <c r="C35" s="409" t="s">
        <v>169</v>
      </c>
      <c r="D35" s="410" t="s">
        <v>170</v>
      </c>
    </row>
    <row r="36" spans="1:4">
      <c r="A36" s="409" t="s">
        <v>96</v>
      </c>
      <c r="B36" s="409" t="s">
        <v>164</v>
      </c>
      <c r="C36" s="409" t="s">
        <v>171</v>
      </c>
      <c r="D36" s="410" t="s">
        <v>172</v>
      </c>
    </row>
    <row r="37" spans="1:4">
      <c r="A37" s="409" t="s">
        <v>96</v>
      </c>
      <c r="B37" s="409" t="s">
        <v>164</v>
      </c>
      <c r="C37" s="409" t="s">
        <v>173</v>
      </c>
      <c r="D37" s="410" t="s">
        <v>174</v>
      </c>
    </row>
    <row r="38" spans="1:4">
      <c r="A38" s="409" t="s">
        <v>96</v>
      </c>
      <c r="B38" s="409" t="s">
        <v>164</v>
      </c>
      <c r="C38" s="409" t="s">
        <v>175</v>
      </c>
      <c r="D38" s="410" t="s">
        <v>176</v>
      </c>
    </row>
    <row r="39" spans="1:4">
      <c r="A39" s="409" t="s">
        <v>96</v>
      </c>
      <c r="B39" s="409" t="s">
        <v>164</v>
      </c>
      <c r="C39" s="409" t="s">
        <v>177</v>
      </c>
      <c r="D39" s="410" t="s">
        <v>178</v>
      </c>
    </row>
    <row r="40" spans="1:4">
      <c r="A40" s="409" t="s">
        <v>96</v>
      </c>
      <c r="B40" s="409" t="s">
        <v>164</v>
      </c>
      <c r="C40" s="409" t="s">
        <v>179</v>
      </c>
      <c r="D40" s="410" t="s">
        <v>180</v>
      </c>
    </row>
    <row r="41" spans="1:4">
      <c r="A41" s="409" t="s">
        <v>96</v>
      </c>
      <c r="B41" s="409" t="s">
        <v>164</v>
      </c>
      <c r="C41" s="409" t="s">
        <v>181</v>
      </c>
      <c r="D41" s="410" t="s">
        <v>182</v>
      </c>
    </row>
    <row r="42" spans="1:4">
      <c r="A42" s="409" t="s">
        <v>96</v>
      </c>
      <c r="B42" s="409" t="s">
        <v>164</v>
      </c>
      <c r="C42" s="409" t="s">
        <v>183</v>
      </c>
      <c r="D42" s="410" t="s">
        <v>184</v>
      </c>
    </row>
    <row r="43" spans="1:4">
      <c r="A43" s="409" t="s">
        <v>96</v>
      </c>
      <c r="B43" s="409" t="s">
        <v>164</v>
      </c>
      <c r="C43" s="409" t="s">
        <v>185</v>
      </c>
      <c r="D43" s="410" t="s">
        <v>186</v>
      </c>
    </row>
    <row r="44" spans="1:4">
      <c r="A44" s="409" t="s">
        <v>96</v>
      </c>
      <c r="B44" s="409" t="s">
        <v>164</v>
      </c>
      <c r="C44" s="409" t="s">
        <v>187</v>
      </c>
      <c r="D44" s="410" t="s">
        <v>188</v>
      </c>
    </row>
    <row r="45" spans="1:4">
      <c r="A45" s="409" t="s">
        <v>96</v>
      </c>
      <c r="B45" s="409" t="s">
        <v>164</v>
      </c>
      <c r="C45" s="409" t="s">
        <v>189</v>
      </c>
      <c r="D45" s="410" t="s">
        <v>190</v>
      </c>
    </row>
    <row r="46" spans="1:4">
      <c r="A46" s="409" t="s">
        <v>96</v>
      </c>
      <c r="B46" s="409" t="s">
        <v>191</v>
      </c>
      <c r="C46" s="409" t="s">
        <v>192</v>
      </c>
      <c r="D46" s="410" t="s">
        <v>193</v>
      </c>
    </row>
    <row r="47" spans="1:4">
      <c r="A47" s="409" t="s">
        <v>96</v>
      </c>
      <c r="B47" s="409" t="s">
        <v>194</v>
      </c>
      <c r="C47" s="409" t="s">
        <v>59</v>
      </c>
      <c r="D47" s="410" t="s">
        <v>195</v>
      </c>
    </row>
    <row r="48" spans="1:4">
      <c r="A48" s="409" t="s">
        <v>96</v>
      </c>
      <c r="B48" s="409" t="s">
        <v>194</v>
      </c>
      <c r="C48" s="409" t="s">
        <v>196</v>
      </c>
      <c r="D48" s="410" t="s">
        <v>197</v>
      </c>
    </row>
    <row r="49" spans="1:4">
      <c r="A49" s="409" t="s">
        <v>96</v>
      </c>
      <c r="B49" s="409" t="s">
        <v>194</v>
      </c>
      <c r="C49" s="409" t="s">
        <v>198</v>
      </c>
      <c r="D49" s="410" t="s">
        <v>199</v>
      </c>
    </row>
    <row r="50" spans="1:4">
      <c r="A50" s="409" t="s">
        <v>96</v>
      </c>
      <c r="B50" s="409" t="s">
        <v>194</v>
      </c>
      <c r="C50" s="409" t="s">
        <v>200</v>
      </c>
      <c r="D50" s="410" t="s">
        <v>201</v>
      </c>
    </row>
    <row r="51" spans="1:4">
      <c r="A51" s="409" t="s">
        <v>96</v>
      </c>
      <c r="B51" s="409" t="s">
        <v>194</v>
      </c>
      <c r="C51" s="409" t="s">
        <v>202</v>
      </c>
      <c r="D51" s="410" t="s">
        <v>203</v>
      </c>
    </row>
    <row r="52" spans="1:4">
      <c r="A52" s="409" t="s">
        <v>96</v>
      </c>
      <c r="B52" s="409" t="s">
        <v>194</v>
      </c>
      <c r="C52" s="409" t="s">
        <v>204</v>
      </c>
      <c r="D52" s="410" t="s">
        <v>205</v>
      </c>
    </row>
    <row r="53" spans="1:4">
      <c r="A53" s="409" t="s">
        <v>96</v>
      </c>
      <c r="B53" s="409" t="s">
        <v>194</v>
      </c>
      <c r="C53" s="409" t="s">
        <v>206</v>
      </c>
      <c r="D53" s="410" t="s">
        <v>207</v>
      </c>
    </row>
    <row r="54" spans="1:4">
      <c r="A54" s="409" t="s">
        <v>96</v>
      </c>
      <c r="B54" s="409" t="s">
        <v>194</v>
      </c>
      <c r="C54" s="409" t="s">
        <v>208</v>
      </c>
      <c r="D54" s="410" t="s">
        <v>209</v>
      </c>
    </row>
    <row r="55" spans="1:4">
      <c r="A55" s="409" t="s">
        <v>96</v>
      </c>
      <c r="B55" s="409" t="s">
        <v>194</v>
      </c>
      <c r="C55" s="409" t="s">
        <v>210</v>
      </c>
      <c r="D55" s="410" t="s">
        <v>211</v>
      </c>
    </row>
    <row r="56" spans="1:4">
      <c r="A56" s="409" t="s">
        <v>96</v>
      </c>
      <c r="B56" s="409" t="s">
        <v>194</v>
      </c>
      <c r="C56" s="409" t="s">
        <v>212</v>
      </c>
      <c r="D56" s="410" t="s">
        <v>213</v>
      </c>
    </row>
    <row r="57" spans="1:4">
      <c r="A57" s="409" t="s">
        <v>96</v>
      </c>
      <c r="B57" s="409" t="s">
        <v>194</v>
      </c>
      <c r="C57" s="409" t="s">
        <v>214</v>
      </c>
      <c r="D57" s="410" t="s">
        <v>215</v>
      </c>
    </row>
    <row r="58" spans="1:4">
      <c r="A58" s="409" t="s">
        <v>96</v>
      </c>
      <c r="B58" s="409" t="s">
        <v>216</v>
      </c>
      <c r="C58" s="409" t="s">
        <v>217</v>
      </c>
      <c r="D58" s="410" t="s">
        <v>218</v>
      </c>
    </row>
    <row r="59" spans="1:4">
      <c r="A59" s="409" t="s">
        <v>96</v>
      </c>
      <c r="B59" s="409" t="s">
        <v>216</v>
      </c>
      <c r="C59" s="409" t="s">
        <v>219</v>
      </c>
      <c r="D59" s="410" t="s">
        <v>220</v>
      </c>
    </row>
    <row r="60" spans="1:4">
      <c r="A60" s="409" t="s">
        <v>96</v>
      </c>
      <c r="B60" s="409" t="s">
        <v>216</v>
      </c>
      <c r="C60" s="409" t="s">
        <v>221</v>
      </c>
      <c r="D60" s="410" t="s">
        <v>222</v>
      </c>
    </row>
    <row r="61" spans="1:4">
      <c r="A61" s="409" t="s">
        <v>96</v>
      </c>
      <c r="B61" s="409" t="s">
        <v>223</v>
      </c>
      <c r="C61" s="409" t="s">
        <v>224</v>
      </c>
      <c r="D61" s="410" t="s">
        <v>225</v>
      </c>
    </row>
    <row r="62" spans="1:4">
      <c r="A62" s="409" t="s">
        <v>96</v>
      </c>
      <c r="B62" s="409" t="s">
        <v>223</v>
      </c>
      <c r="C62" s="409" t="s">
        <v>226</v>
      </c>
      <c r="D62" s="410" t="s">
        <v>227</v>
      </c>
    </row>
    <row r="63" spans="1:4">
      <c r="A63" s="409" t="s">
        <v>96</v>
      </c>
      <c r="B63" s="409" t="s">
        <v>228</v>
      </c>
      <c r="C63" s="409" t="s">
        <v>73</v>
      </c>
      <c r="D63" s="410" t="s">
        <v>229</v>
      </c>
    </row>
    <row r="64" spans="1:4">
      <c r="A64" s="409" t="s">
        <v>96</v>
      </c>
      <c r="B64" s="409" t="s">
        <v>228</v>
      </c>
      <c r="C64" s="409" t="s">
        <v>77</v>
      </c>
      <c r="D64" s="410" t="s">
        <v>230</v>
      </c>
    </row>
    <row r="65" spans="1:4">
      <c r="A65" s="409" t="s">
        <v>96</v>
      </c>
      <c r="B65" s="409" t="s">
        <v>228</v>
      </c>
      <c r="C65" s="409" t="s">
        <v>64</v>
      </c>
      <c r="D65" s="410" t="s">
        <v>231</v>
      </c>
    </row>
    <row r="66" spans="1:4">
      <c r="A66" s="409" t="s">
        <v>96</v>
      </c>
      <c r="B66" s="409" t="s">
        <v>232</v>
      </c>
      <c r="C66" s="409" t="s">
        <v>233</v>
      </c>
      <c r="D66" s="410" t="s">
        <v>234</v>
      </c>
    </row>
    <row r="67" spans="1:4">
      <c r="A67" s="409" t="s">
        <v>96</v>
      </c>
      <c r="B67" s="409" t="s">
        <v>232</v>
      </c>
      <c r="C67" s="409" t="s">
        <v>235</v>
      </c>
      <c r="D67" s="410" t="s">
        <v>236</v>
      </c>
    </row>
    <row r="68" spans="1:4">
      <c r="A68" s="409" t="s">
        <v>96</v>
      </c>
      <c r="B68" s="409" t="s">
        <v>232</v>
      </c>
      <c r="C68" s="409" t="s">
        <v>237</v>
      </c>
      <c r="D68" s="410" t="s">
        <v>238</v>
      </c>
    </row>
    <row r="69" spans="1:4">
      <c r="A69" s="409" t="s">
        <v>96</v>
      </c>
      <c r="B69" s="409" t="s">
        <v>232</v>
      </c>
      <c r="C69" s="409" t="s">
        <v>239</v>
      </c>
      <c r="D69" s="410" t="s">
        <v>240</v>
      </c>
    </row>
    <row r="70" spans="1:4">
      <c r="A70" s="409" t="s">
        <v>96</v>
      </c>
      <c r="B70" s="409" t="s">
        <v>241</v>
      </c>
      <c r="C70" s="409" t="s">
        <v>242</v>
      </c>
      <c r="D70" s="410" t="s">
        <v>243</v>
      </c>
    </row>
    <row r="71" spans="1:4">
      <c r="A71" s="409" t="s">
        <v>96</v>
      </c>
      <c r="B71" s="409" t="s">
        <v>244</v>
      </c>
      <c r="C71" s="409" t="s">
        <v>245</v>
      </c>
      <c r="D71" s="410" t="s">
        <v>246</v>
      </c>
    </row>
    <row r="72" spans="1:4">
      <c r="A72" s="409" t="s">
        <v>96</v>
      </c>
      <c r="B72" s="409" t="s">
        <v>244</v>
      </c>
      <c r="C72" s="409" t="s">
        <v>247</v>
      </c>
      <c r="D72" s="410" t="s">
        <v>248</v>
      </c>
    </row>
    <row r="73" spans="1:4">
      <c r="A73" s="409" t="s">
        <v>96</v>
      </c>
      <c r="B73" s="409" t="s">
        <v>249</v>
      </c>
      <c r="C73" s="409" t="s">
        <v>250</v>
      </c>
      <c r="D73" s="410" t="s">
        <v>251</v>
      </c>
    </row>
    <row r="74" spans="1:4">
      <c r="A74" s="409" t="s">
        <v>96</v>
      </c>
      <c r="B74" s="409" t="s">
        <v>249</v>
      </c>
      <c r="C74" s="409" t="s">
        <v>252</v>
      </c>
      <c r="D74" s="410" t="s">
        <v>253</v>
      </c>
    </row>
    <row r="75" spans="1:4">
      <c r="A75" s="409" t="s">
        <v>96</v>
      </c>
      <c r="B75" s="409" t="s">
        <v>249</v>
      </c>
      <c r="C75" s="409" t="s">
        <v>254</v>
      </c>
      <c r="D75" s="410" t="s">
        <v>255</v>
      </c>
    </row>
    <row r="76" spans="1:4">
      <c r="A76" s="409" t="s">
        <v>256</v>
      </c>
      <c r="B76" s="409" t="s">
        <v>257</v>
      </c>
      <c r="C76" s="409" t="s">
        <v>258</v>
      </c>
      <c r="D76" s="410" t="s">
        <v>259</v>
      </c>
    </row>
    <row r="77" spans="1:4">
      <c r="A77" s="409" t="s">
        <v>260</v>
      </c>
      <c r="B77" s="409" t="s">
        <v>261</v>
      </c>
      <c r="C77" s="409" t="s">
        <v>262</v>
      </c>
      <c r="D77" s="410" t="s">
        <v>263</v>
      </c>
    </row>
    <row r="78" spans="1:4">
      <c r="A78" s="409" t="s">
        <v>260</v>
      </c>
      <c r="B78" s="409" t="s">
        <v>261</v>
      </c>
      <c r="C78" s="409" t="s">
        <v>264</v>
      </c>
      <c r="D78" s="410" t="s">
        <v>265</v>
      </c>
    </row>
    <row r="79" spans="1:4">
      <c r="A79" s="409" t="s">
        <v>260</v>
      </c>
      <c r="B79" s="409" t="s">
        <v>261</v>
      </c>
      <c r="C79" s="409" t="s">
        <v>266</v>
      </c>
      <c r="D79" s="410" t="s">
        <v>267</v>
      </c>
    </row>
    <row r="80" spans="1:4">
      <c r="A80" s="409" t="s">
        <v>260</v>
      </c>
      <c r="B80" s="409" t="s">
        <v>261</v>
      </c>
      <c r="C80" s="409" t="s">
        <v>268</v>
      </c>
      <c r="D80" s="410" t="s">
        <v>269</v>
      </c>
    </row>
    <row r="81" spans="1:4">
      <c r="A81" s="409" t="s">
        <v>260</v>
      </c>
      <c r="B81" s="409" t="s">
        <v>261</v>
      </c>
      <c r="C81" s="409" t="s">
        <v>270</v>
      </c>
      <c r="D81" s="410" t="s">
        <v>271</v>
      </c>
    </row>
    <row r="82" spans="1:4">
      <c r="A82" s="409" t="s">
        <v>272</v>
      </c>
      <c r="B82" s="409" t="s">
        <v>273</v>
      </c>
      <c r="C82" s="409" t="s">
        <v>274</v>
      </c>
      <c r="D82" s="410" t="s">
        <v>275</v>
      </c>
    </row>
    <row r="83" spans="1:4">
      <c r="A83" s="409" t="s">
        <v>272</v>
      </c>
      <c r="B83" s="409" t="s">
        <v>273</v>
      </c>
      <c r="C83" s="409" t="s">
        <v>276</v>
      </c>
      <c r="D83" s="410" t="s">
        <v>277</v>
      </c>
    </row>
    <row r="84" spans="1:4">
      <c r="A84" s="409" t="s">
        <v>272</v>
      </c>
      <c r="B84" s="409" t="s">
        <v>273</v>
      </c>
      <c r="C84" s="409" t="s">
        <v>278</v>
      </c>
      <c r="D84" s="410" t="s">
        <v>279</v>
      </c>
    </row>
    <row r="85" spans="1:4">
      <c r="A85" s="409" t="s">
        <v>272</v>
      </c>
      <c r="B85" s="409" t="s">
        <v>280</v>
      </c>
      <c r="C85" s="409" t="s">
        <v>281</v>
      </c>
      <c r="D85" s="410" t="s">
        <v>282</v>
      </c>
    </row>
    <row r="86" spans="1:4">
      <c r="A86" s="409" t="s">
        <v>272</v>
      </c>
      <c r="B86" s="409" t="s">
        <v>280</v>
      </c>
      <c r="C86" s="409" t="s">
        <v>283</v>
      </c>
      <c r="D86" s="410" t="s">
        <v>284</v>
      </c>
    </row>
    <row r="87" spans="1:4">
      <c r="A87" s="409" t="s">
        <v>272</v>
      </c>
      <c r="B87" s="409" t="s">
        <v>280</v>
      </c>
      <c r="C87" s="409" t="s">
        <v>285</v>
      </c>
      <c r="D87" s="410" t="s">
        <v>286</v>
      </c>
    </row>
    <row r="88" spans="1:4">
      <c r="A88" s="409" t="s">
        <v>287</v>
      </c>
      <c r="B88" s="409" t="s">
        <v>288</v>
      </c>
      <c r="C88" s="409" t="s">
        <v>289</v>
      </c>
      <c r="D88" s="410" t="s">
        <v>290</v>
      </c>
    </row>
    <row r="89" spans="1:4">
      <c r="A89" s="409" t="s">
        <v>287</v>
      </c>
      <c r="B89" s="409" t="s">
        <v>291</v>
      </c>
      <c r="C89" s="409" t="s">
        <v>292</v>
      </c>
      <c r="D89" s="410" t="s">
        <v>293</v>
      </c>
    </row>
    <row r="90" spans="1:4">
      <c r="A90" s="409" t="s">
        <v>294</v>
      </c>
      <c r="B90" s="409" t="s">
        <v>295</v>
      </c>
      <c r="C90" s="409" t="s">
        <v>296</v>
      </c>
      <c r="D90" s="410" t="s">
        <v>297</v>
      </c>
    </row>
    <row r="91" spans="1:4">
      <c r="A91" s="409" t="s">
        <v>294</v>
      </c>
      <c r="B91" s="409" t="s">
        <v>295</v>
      </c>
      <c r="C91" s="409" t="s">
        <v>298</v>
      </c>
      <c r="D91" s="410" t="s">
        <v>299</v>
      </c>
    </row>
    <row r="92" spans="1:4">
      <c r="A92" s="409" t="s">
        <v>294</v>
      </c>
      <c r="B92" s="409" t="s">
        <v>295</v>
      </c>
      <c r="C92" s="409" t="s">
        <v>300</v>
      </c>
      <c r="D92" s="410" t="s">
        <v>301</v>
      </c>
    </row>
  </sheetData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2018-11-18T17:44:11Z</dcterms:modified>
  <cp:revision>0</cp:revision>
</cp:coreProperties>
</file>