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TC!$A$1:$Y$45</definedName>
    <definedName hidden="1" localSheetId="4" name="_xlnm._FilterDatabase">Keyword!$A$1:$D$91</definedName>
  </definedNames>
  <calcPr/>
  <extLst>
    <ext uri="smNativeData">
      <pm:revision xmlns:pm="smNativeData" day="1542773440" rev="123" revOS="4" val="938"/>
      <pm:docPrefs xmlns:pm="smNativeData" autoChart="1" compatTextArt="1" finalRounding="1" fixedDigits="0" id="1542773440" printArea="currentSheet" recalcOnCopy="1" recalcOnPrint="1" showFrameBounds="1" showNotice="1" tab="567" useDefinedPrintRange="1"/>
      <pm:compatibility xmlns:pm="smNativeData" id="1542773440" overlapCells="1"/>
      <pm:defCurrency xmlns:pm="smNativeData" id="1542773440"/>
    </ext>
  </extLst>
</workbook>
</file>

<file path=xl/sharedStrings.xml><?xml version="1.0" encoding="utf-8"?>
<sst xmlns="http://schemas.openxmlformats.org/spreadsheetml/2006/main" count="849" uniqueCount="357">
  <si>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</si>
  <si>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</si>
  <si>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</si>
  <si>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</si>
  <si>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</si>
  <si>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</si>
  <si>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</si>
  <si>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</si>
  <si>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</si>
  <si>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</si>
  <si>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</si>
  <si>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</si>
  <si>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</si>
  <si>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</si>
  <si>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</si>
  <si>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</si>
  <si>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</si>
  <si>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</si>
  <si>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</si>
  <si>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</si>
  <si>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</si>
  <si>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</si>
  <si>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</si>
  <si>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</si>
  <si>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</si>
  <si>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</si>
  <si>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</si>
  <si>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</si>
  <si>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</si>
  <si>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</si>
  <si>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</si>
  <si>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</si>
  <si>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</si>
  <si>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</si>
  <si>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</si>
  <si>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</si>
  <si>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</si>
  <si>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</si>
  <si>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</si>
  <si>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</si>
  <si>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</si>
  <si>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</si>
  <si>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</si>
  <si>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</si>
  <si>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</si>
  <si>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</si>
  <si>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</si>
  <si>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</si>
  <si>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</si>
  <si>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</si>
  <si>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</si>
  <si>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</si>
  <si>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</si>
  <si>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</si>
  <si>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</si>
  <si>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</si>
  <si>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</si>
  <si>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</si>
  <si>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</si>
  <si>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</si>
  <si>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</si>
  <si>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</si>
  <si>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</si>
  <si>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</si>
  <si>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</si>
  <si>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</si>
  <si>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</si>
  <si>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</si>
  <si>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</si>
  <si>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</si>
  <si>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</si>
  <si>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</si>
  <si>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</si>
  <si>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</si>
  <si>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</si>
  <si>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</si>
  <si>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</si>
  <si>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</si>
  <si>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</si>
  <si>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</si>
  <si>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</si>
  <si>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</si>
  <si>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</si>
  <si>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</si>
  <si>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</si>
  <si>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</si>
  <si>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</si>
  <si>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</si>
  <si>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</si>
  <si>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</si>
  <si>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</si>
  <si>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</si>
  <si>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</si>
  <si>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</si>
  <si>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</si>
  <si>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</si>
  <si>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</si>
  <si>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</si>
  <si>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</si>
  <si>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</si>
  <si>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</si>
  <si>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</si>
  <si>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</si>
  <si>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</si>
  <si>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</si>
  <si>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</si>
  <si>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</si>
  <si>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</si>
  <si>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</si>
  <si>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</si>
  <si>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</si>
  <si>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</si>
  <si>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</si>
  <si>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</si>
  <si>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</si>
  <si>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</si>
  <si>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</si>
  <si>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</si>
  <si>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</si>
  <si>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</si>
  <si>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</si>
  <si>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</si>
  <si>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</si>
  <si>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</si>
  <si>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</si>
  <si>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</si>
  <si>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</si>
  <si>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</si>
  <si>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</si>
  <si>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</si>
  <si>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</si>
  <si>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</si>
  <si>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</si>
  <si>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</si>
  <si>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</si>
  <si>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</si>
  <si>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</si>
  <si>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</si>
  <si>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</si>
  <si>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</si>
  <si>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</si>
  <si>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</si>
  <si>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</si>
  <si>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</si>
  <si>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</si>
  <si>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</si>
  <si>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</si>
  <si>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</si>
  <si>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</si>
  <si>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</si>
  <si>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</si>
  <si>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</si>
  <si>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</si>
  <si>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</si>
  <si>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</si>
  <si>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</si>
  <si>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</si>
  <si>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</si>
  <si>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</si>
  <si>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</si>
  <si>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</si>
  <si>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</si>
  <si>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</si>
  <si>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</si>
  <si>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</si>
  <si>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</si>
  <si>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</si>
  <si>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</si>
  <si>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</si>
  <si>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</si>
  <si>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</si>
  <si>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</si>
  <si>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</si>
  <si>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</si>
  <si>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</si>
  <si>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</si>
  <si>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</si>
  <si>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</si>
  <si>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</si>
  <si>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</si>
  <si>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</si>
  <si>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</si>
  <si>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</si>
  <si>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</si>
  <si>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</si>
  <si>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</si>
  <si>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</si>
  <si>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</si>
  <si>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</si>
  <si>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</si>
  <si>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</si>
  <si>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</si>
  <si>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</si>
  <si>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</si>
  <si>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</si>
  <si>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</si>
  <si>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</si>
  <si>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</si>
  <si>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</si>
  <si>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</si>
  <si>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</si>
  <si>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</si>
  <si>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</si>
  <si>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</si>
  <si>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</si>
  <si>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</si>
  <si>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</si>
  <si>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</si>
  <si>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</si>
  <si>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</si>
  <si>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</si>
  <si>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</si>
  <si>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</si>
  <si>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</si>
  <si>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</si>
  <si>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</si>
  <si>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</si>
  <si>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</si>
  <si>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</si>
  <si>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</si>
  <si>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</si>
  <si>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</si>
  <si>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</si>
  <si>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</si>
  <si>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</si>
  <si>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</si>
  <si>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</si>
  <si>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</si>
  <si>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</si>
  <si>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</si>
  <si>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</si>
  <si>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</si>
  <si>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</si>
  <si>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</si>
  <si>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</si>
  <si>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</si>
  <si>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</si>
  <si>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</si>
  <si>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</si>
  <si>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</si>
  <si>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</si>
  <si>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</si>
  <si>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</si>
  <si>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</si>
  <si>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</si>
  <si>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</si>
  <si>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</si>
  <si>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</si>
  <si>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</si>
  <si>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</si>
  <si>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</si>
  <si>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</si>
  <si>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</si>
  <si>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</si>
  <si>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</si>
  <si>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</si>
  <si>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</si>
  <si>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</si>
  <si>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</si>
  <si>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</si>
  <si>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</si>
  <si>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</si>
  <si>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</si>
  <si>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</si>
  <si>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</si>
  <si>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</si>
  <si>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</si>
  <si>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</si>
  <si>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</si>
  <si>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</si>
  <si>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</si>
  <si>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</si>
  <si>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</si>
  <si>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</si>
  <si>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</si>
  <si>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</si>
  <si>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</si>
  <si>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</si>
  <si>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</si>
  <si>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</si>
  <si>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</si>
  <si>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</si>
  <si>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</si>
  <si>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</si>
  <si>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</si>
  <si>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</si>
  <si>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</si>
  <si>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</si>
  <si>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</si>
  <si>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</si>
  <si>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</si>
  <si>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</si>
  <si>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</si>
  <si>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</si>
  <si>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</si>
  <si>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</si>
  <si>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</si>
  <si>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</si>
  <si>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</si>
  <si>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</si>
  <si>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</si>
  <si>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</si>
  <si>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</si>
  <si>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</si>
  <si>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</si>
  <si>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</si>
  <si>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</si>
  <si>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</si>
  <si>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</si>
  <si>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</si>
  <si>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</si>
  <si>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</si>
  <si>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</si>
  <si>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</si>
  <si>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</si>
  <si>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</si>
  <si>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</si>
  <si>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</si>
  <si>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</si>
  <si>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</si>
  <si>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</si>
  <si>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</si>
  <si>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</si>
  <si>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</si>
  <si>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</si>
  <si>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</si>
  <si>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</si>
  <si>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</si>
  <si>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</si>
  <si>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</si>
  <si>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</si>
  <si>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</si>
  <si>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</si>
  <si>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</si>
  <si>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</si>
  <si>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</si>
  <si>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</si>
  <si>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</si>
  <si>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</si>
  <si>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</si>
  <si>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</si>
  <si>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</si>
  <si>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</si>
  <si>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</si>
  <si>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</si>
  <si>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</si>
  <si>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</si>
  <si>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</si>
  <si>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</si>
  <si>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</si>
  <si>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</si>
  <si>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</si>
  <si>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</si>
  <si>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Grand Total</t>
  </si>
  <si>
    <t>11/21/2018 11:10:56</t>
  </si>
  <si>
    <t>11/21/2018 11:11:41</t>
  </si>
  <si>
    <t>0 min, 45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</si>
</sst>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77344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344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34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344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34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344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34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344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344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344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344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344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344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344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1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344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344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344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34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34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3440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344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3440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34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3440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34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344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344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344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344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344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344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344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344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3440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numFmtId="0" fontId="14" fillId="24" borderId="0" xfId="0" applyFill="true" applyFont="true"/>
    <xf numFmtId="0" fontId="15" fillId="26" borderId="0" xfId="0" applyFill="true" applyFont="true"/>
    <xf numFmtId="0" fontId="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7" fillId="30" borderId="25" xfId="0" applyFill="true" applyFont="true" applyBorder="true"/>
    <xf numFmtId="0" fontId="0" fillId="0" borderId="25" xfId="0" applyBorder="true"/>
    <xf numFmtId="10" fontId="18" fillId="30" borderId="25" xfId="0" applyFill="true" applyFont="true" applyNumberFormat="true" applyBorder="true"/>
    <xf numFmtId="0" fontId="19" fillId="24" borderId="0" xfId="0" applyFill="true" applyFont="true"/>
    <xf numFmtId="0" fontId="20" fillId="26" borderId="0" xfId="0" applyFill="true" applyFont="true"/>
    <xf numFmtId="0" fontId="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2" fillId="30" borderId="25" xfId="0" applyFill="true" applyFont="true" applyBorder="true"/>
    <xf numFmtId="0" fontId="0" fillId="0" borderId="25" xfId="0" applyBorder="true"/>
    <xf numFmtId="10" fontId="23" fillId="30" borderId="25" xfId="0" applyFill="true" applyFont="true" applyNumberFormat="true" applyBorder="true"/>
    <xf numFmtId="0" fontId="24" fillId="24" borderId="0" xfId="0" applyFill="true" applyFont="true"/>
    <xf numFmtId="0" fontId="25" fillId="26" borderId="0" xfId="0" applyFill="true" applyFont="true"/>
    <xf numFmtId="0" fontId="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7" fillId="30" borderId="25" xfId="0" applyFill="true" applyFont="true" applyBorder="true"/>
    <xf numFmtId="0" fontId="0" fillId="0" borderId="25" xfId="0" applyBorder="true"/>
    <xf numFmtId="10" fontId="28" fillId="30" borderId="25" xfId="0" applyFill="true" applyFont="true" applyNumberFormat="true" applyBorder="true"/>
    <xf numFmtId="0" fontId="29" fillId="24" borderId="0" xfId="0" applyFill="true" applyFont="true"/>
    <xf numFmtId="0" fontId="30" fillId="26" borderId="0" xfId="0" applyFill="true" applyFont="true"/>
    <xf numFmtId="0" fontId="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2" fillId="30" borderId="25" xfId="0" applyFill="true" applyFont="true" applyBorder="true"/>
    <xf numFmtId="0" fontId="0" fillId="0" borderId="25" xfId="0" applyBorder="true"/>
    <xf numFmtId="10" fontId="33" fillId="30" borderId="25" xfId="0" applyFill="true" applyFont="true" applyNumberFormat="true" applyBorder="true"/>
    <xf numFmtId="0" fontId="34" fillId="24" borderId="0" xfId="0" applyFill="true" applyFont="true"/>
    <xf numFmtId="0" fontId="35" fillId="26" borderId="0" xfId="0" applyFill="true" applyFont="true"/>
    <xf numFmtId="0" fontId="3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7" fillId="30" borderId="25" xfId="0" applyFill="true" applyFont="true" applyBorder="true"/>
    <xf numFmtId="0" fontId="0" fillId="0" borderId="25" xfId="0" applyBorder="true"/>
    <xf numFmtId="10" fontId="38" fillId="30" borderId="25" xfId="0" applyFill="true" applyFont="true" applyNumberFormat="true" applyBorder="true"/>
    <xf numFmtId="0" fontId="39" fillId="24" borderId="0" xfId="0" applyFill="true" applyFont="true"/>
    <xf numFmtId="0" fontId="40" fillId="26" borderId="0" xfId="0" applyFill="true" applyFont="true"/>
    <xf numFmtId="0" fontId="4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2" fillId="30" borderId="25" xfId="0" applyFill="true" applyFont="true" applyBorder="true"/>
    <xf numFmtId="0" fontId="0" fillId="0" borderId="25" xfId="0" applyBorder="true"/>
    <xf numFmtId="10" fontId="43" fillId="30" borderId="25" xfId="0" applyFill="true" applyFont="true" applyNumberFormat="true" applyBorder="true"/>
    <xf numFmtId="0" fontId="44" fillId="24" borderId="0" xfId="0" applyFill="true" applyFont="true"/>
    <xf numFmtId="0" fontId="45" fillId="26" borderId="0" xfId="0" applyFill="true" applyFont="true"/>
    <xf numFmtId="0" fontId="4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7" fillId="30" borderId="25" xfId="0" applyFill="true" applyFont="true" applyBorder="true"/>
    <xf numFmtId="0" fontId="0" fillId="0" borderId="25" xfId="0" applyBorder="true"/>
    <xf numFmtId="10" fontId="48" fillId="30" borderId="25" xfId="0" applyFill="true" applyFont="true" applyNumberFormat="true" applyBorder="true"/>
    <xf numFmtId="0" fontId="49" fillId="24" borderId="0" xfId="0" applyFill="true" applyFont="true"/>
    <xf numFmtId="0" fontId="50" fillId="26" borderId="0" xfId="0" applyFill="true" applyFont="true"/>
    <xf numFmtId="0" fontId="5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2" fillId="30" borderId="25" xfId="0" applyFill="true" applyFont="true" applyBorder="true"/>
    <xf numFmtId="0" fontId="0" fillId="0" borderId="25" xfId="0" applyBorder="true"/>
    <xf numFmtId="10" fontId="53" fillId="30" borderId="25" xfId="0" applyFill="true" applyFont="true" applyNumberFormat="true" applyBorder="true"/>
    <xf numFmtId="0" fontId="54" fillId="24" borderId="0" xfId="0" applyFill="true" applyFont="true"/>
    <xf numFmtId="0" fontId="55" fillId="26" borderId="0" xfId="0" applyFill="true" applyFont="true"/>
    <xf numFmtId="0" fontId="5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7" fillId="30" borderId="25" xfId="0" applyFill="true" applyFont="true" applyBorder="true"/>
    <xf numFmtId="0" fontId="0" fillId="0" borderId="25" xfId="0" applyBorder="true"/>
    <xf numFmtId="10" fontId="58" fillId="30" borderId="25" xfId="0" applyFill="true" applyFont="true" applyNumberFormat="true" applyBorder="true"/>
    <xf numFmtId="0" fontId="59" fillId="24" borderId="0" xfId="0" applyFill="true" applyFont="true"/>
    <xf numFmtId="0" fontId="60" fillId="26" borderId="0" xfId="0" applyFill="true" applyFont="true"/>
    <xf numFmtId="0" fontId="6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2" fillId="30" borderId="25" xfId="0" applyFill="true" applyFont="true" applyBorder="true"/>
    <xf numFmtId="0" fontId="0" fillId="0" borderId="25" xfId="0" applyBorder="true"/>
    <xf numFmtId="10" fontId="63" fillId="30" borderId="25" xfId="0" applyFill="true" applyFont="true" applyNumberFormat="true" applyBorder="true"/>
    <xf numFmtId="0" fontId="64" fillId="24" borderId="0" xfId="0" applyFill="true" applyFont="true"/>
    <xf numFmtId="0" fontId="65" fillId="26" borderId="0" xfId="0" applyFill="true" applyFont="true"/>
    <xf numFmtId="0" fontId="6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7" fillId="30" borderId="25" xfId="0" applyFill="true" applyFont="true" applyBorder="true"/>
    <xf numFmtId="0" fontId="0" fillId="0" borderId="25" xfId="0" applyBorder="true"/>
    <xf numFmtId="10" fontId="68" fillId="30" borderId="25" xfId="0" applyFill="true" applyFont="true" applyNumberFormat="true" applyBorder="true"/>
    <xf numFmtId="0" fontId="69" fillId="24" borderId="0" xfId="0" applyFill="true" applyFont="true"/>
    <xf numFmtId="0" fontId="70" fillId="26" borderId="0" xfId="0" applyFill="true" applyFont="true"/>
    <xf numFmtId="0" fontId="7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2" fillId="30" borderId="25" xfId="0" applyFill="true" applyFont="true" applyBorder="true"/>
    <xf numFmtId="0" fontId="0" fillId="0" borderId="25" xfId="0" applyBorder="true"/>
    <xf numFmtId="10" fontId="73" fillId="30" borderId="25" xfId="0" applyFill="true" applyFont="true" applyNumberFormat="true" applyBorder="true"/>
    <xf numFmtId="0" fontId="74" fillId="24" borderId="0" xfId="0" applyFill="true" applyFont="true"/>
    <xf numFmtId="0" fontId="75" fillId="26" borderId="0" xfId="0" applyFill="true" applyFont="true"/>
    <xf numFmtId="0" fontId="7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7" fillId="30" borderId="25" xfId="0" applyFill="true" applyFont="true" applyBorder="true"/>
    <xf numFmtId="0" fontId="0" fillId="0" borderId="25" xfId="0" applyBorder="true"/>
    <xf numFmtId="10" fontId="78" fillId="30" borderId="25" xfId="0" applyFill="true" applyFont="true" applyNumberFormat="true" applyBorder="true"/>
    <xf numFmtId="0" fontId="79" fillId="24" borderId="0" xfId="0" applyFill="true" applyFont="true"/>
    <xf numFmtId="0" fontId="80" fillId="26" borderId="0" xfId="0" applyFill="true" applyFont="true"/>
    <xf numFmtId="0" fontId="8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2" fillId="30" borderId="25" xfId="0" applyFill="true" applyFont="true" applyBorder="true"/>
    <xf numFmtId="0" fontId="0" fillId="0" borderId="25" xfId="0" applyBorder="true"/>
    <xf numFmtId="10" fontId="83" fillId="30" borderId="25" xfId="0" applyFill="true" applyFont="true" applyNumberFormat="true" applyBorder="true"/>
    <xf numFmtId="0" fontId="84" fillId="24" borderId="0" xfId="0" applyFill="true" applyFont="true"/>
    <xf numFmtId="0" fontId="85" fillId="26" borderId="0" xfId="0" applyFill="true" applyFont="true"/>
    <xf numFmtId="0" fontId="8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7" fillId="30" borderId="25" xfId="0" applyFill="true" applyFont="true" applyBorder="true"/>
    <xf numFmtId="0" fontId="0" fillId="0" borderId="25" xfId="0" applyBorder="true"/>
    <xf numFmtId="10" fontId="88" fillId="30" borderId="25" xfId="0" applyFill="true" applyFont="true" applyNumberFormat="true" applyBorder="true"/>
    <xf numFmtId="0" fontId="89" fillId="24" borderId="0" xfId="0" applyFill="true" applyFont="true"/>
    <xf numFmtId="0" fontId="90" fillId="26" borderId="0" xfId="0" applyFill="true" applyFont="true"/>
    <xf numFmtId="0" fontId="9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2" fillId="30" borderId="25" xfId="0" applyFill="true" applyFont="true" applyBorder="true"/>
    <xf numFmtId="0" fontId="0" fillId="0" borderId="25" xfId="0" applyBorder="true"/>
    <xf numFmtId="10" fontId="93" fillId="30" borderId="25" xfId="0" applyFill="true" applyFont="true" applyNumberFormat="true" applyBorder="true"/>
    <xf numFmtId="0" fontId="94" fillId="24" borderId="0" xfId="0" applyFill="true" applyFont="true"/>
    <xf numFmtId="0" fontId="95" fillId="26" borderId="0" xfId="0" applyFill="true" applyFont="true"/>
    <xf numFmtId="0" fontId="9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7" fillId="30" borderId="25" xfId="0" applyFill="true" applyFont="true" applyBorder="true"/>
    <xf numFmtId="0" fontId="0" fillId="0" borderId="25" xfId="0" applyBorder="true"/>
    <xf numFmtId="10" fontId="98" fillId="30" borderId="25" xfId="0" applyFill="true" applyFont="true" applyNumberFormat="true" applyBorder="true"/>
    <xf numFmtId="0" fontId="99" fillId="24" borderId="0" xfId="0" applyFill="true" applyFont="true"/>
    <xf numFmtId="0" fontId="100" fillId="26" borderId="0" xfId="0" applyFill="true" applyFont="true"/>
    <xf numFmtId="0" fontId="10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2" fillId="30" borderId="25" xfId="0" applyFill="true" applyFont="true" applyBorder="true"/>
    <xf numFmtId="0" fontId="0" fillId="0" borderId="25" xfId="0" applyBorder="true"/>
    <xf numFmtId="10" fontId="103" fillId="30" borderId="25" xfId="0" applyFill="true" applyFont="true" applyNumberFormat="true" applyBorder="true"/>
    <xf numFmtId="0" fontId="104" fillId="24" borderId="0" xfId="0" applyFill="true" applyFont="true"/>
    <xf numFmtId="0" fontId="105" fillId="26" borderId="0" xfId="0" applyFill="true" applyFont="true"/>
    <xf numFmtId="0" fontId="10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7" fillId="30" borderId="25" xfId="0" applyFill="true" applyFont="true" applyBorder="true"/>
    <xf numFmtId="0" fontId="0" fillId="0" borderId="25" xfId="0" applyBorder="true"/>
    <xf numFmtId="10" fontId="108" fillId="30" borderId="25" xfId="0" applyFill="true" applyFont="true" applyNumberFormat="true" applyBorder="true"/>
    <xf numFmtId="0" fontId="109" fillId="24" borderId="0" xfId="0" applyFill="true" applyFont="true"/>
    <xf numFmtId="0" fontId="110" fillId="26" borderId="0" xfId="0" applyFill="true" applyFont="true"/>
    <xf numFmtId="0" fontId="11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2" fillId="30" borderId="25" xfId="0" applyFill="true" applyFont="true" applyBorder="true"/>
    <xf numFmtId="0" fontId="0" fillId="0" borderId="25" xfId="0" applyBorder="true"/>
    <xf numFmtId="10" fontId="113" fillId="30" borderId="25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3440">
        <pm:charStyle Id="1" fontId="0" name="Normal"/>
      </pm:charStyles>
      <pm:colors xmlns:pm="smNativeData" count="6" id="1542773440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344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wNr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wNr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wNr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344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3440" l="56" r="56" t="56" vertical="0"/>
        <pm:footer xmlns:pm="smNativeData" b="56" borderId="0" fillId="0" id="1542773440" l="56" r="56" t="56" vertical="2"/>
        <pm:paperBin xmlns:pm="smNativeData" Id="0" id="1542773440" type="0" value="0"/>
        <pm:paperBin xmlns:pm="smNativeData" Id="1" id="1542773440" type="0" value="0"/>
      </ext>
    </extLst>
  </headerFooter>
  <extLst>
    <ext uri="smNativeData">
      <pm:sheetPrefs xmlns:pm="smNativeData" day="15427734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45"/>
  <sheetViews>
    <sheetView tabSelected="1" view="normal" workbookViewId="0" zoomScale="85">
      <pane activePane="bottomRight" state="frozen" topLeftCell="I26" xSplit="7" ySplit="1"/>
      <selection activeCell="G46" pane="bottomRight" sqref="G4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3" t="s">
        <v>352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352</v>
      </c>
      <c r="H3" s="394" t="s">
        <v>346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1" t="s">
        <v>352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352</v>
      </c>
      <c r="H5" s="394" t="s">
        <v>346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352</v>
      </c>
      <c r="H6" s="394" t="s">
        <v>347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352</v>
      </c>
      <c r="H7" s="394" t="s">
        <v>348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352</v>
      </c>
      <c r="H8" s="394" t="s">
        <v>349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350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350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350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73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350</v>
      </c>
      <c r="H15" s="394" t="n">
        <v>1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86</v>
      </c>
      <c r="N15" s="394" t="s">
        <v>87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350</v>
      </c>
      <c r="H16" s="394" t="n">
        <v>2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89</v>
      </c>
      <c r="N16" s="394" t="s">
        <v>82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73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/>
      <c r="B18" s="394"/>
      <c r="C18" s="396"/>
      <c r="D18" s="394"/>
      <c r="E18" s="394"/>
      <c r="F18" s="394"/>
      <c r="G18" s="394" t="s">
        <v>350</v>
      </c>
      <c r="H18" s="394" t="n">
        <v>1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/>
      <c r="M18" s="394" t="s">
        <v>92</v>
      </c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</row>
    <row r="19" spans="1:25">
      <c r="A19" s="397"/>
      <c r="B19" s="394"/>
      <c r="C19" s="396"/>
      <c r="D19" s="394"/>
      <c r="E19" s="394"/>
      <c r="F19" s="394"/>
      <c r="G19" s="394" t="s">
        <v>350</v>
      </c>
      <c r="H19" s="394" t="n">
        <v>2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/>
      <c r="M19" s="394" t="s">
        <v>94</v>
      </c>
      <c r="N19" s="394" t="s">
        <v>50</v>
      </c>
      <c r="O19" s="394"/>
      <c r="P19" s="394"/>
      <c r="Q19" s="394"/>
      <c r="R19" s="394"/>
      <c r="S19" s="394"/>
      <c r="T19" s="394"/>
      <c r="U19" s="394"/>
      <c r="V19" s="394"/>
      <c r="W19" s="394"/>
      <c r="X19" s="394"/>
      <c r="Y19" s="394"/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73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/>
      <c r="B21" s="394"/>
      <c r="C21" s="396"/>
      <c r="D21" s="394"/>
      <c r="E21" s="394"/>
      <c r="F21" s="394"/>
      <c r="G21" s="394" t="s">
        <v>350</v>
      </c>
      <c r="H21" s="394"/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/>
      <c r="M21" s="394" t="s">
        <v>94</v>
      </c>
      <c r="N21" s="394" t="s">
        <v>98</v>
      </c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</row>
    <row r="22" spans="1:25">
      <c r="A22" s="397"/>
      <c r="B22" s="394"/>
      <c r="C22" s="396"/>
      <c r="D22" s="394"/>
      <c r="E22" s="394"/>
      <c r="F22" s="394"/>
      <c r="G22" s="394" t="s">
        <v>350</v>
      </c>
      <c r="H22" s="394"/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/>
      <c r="M22" s="394" t="s">
        <v>100</v>
      </c>
      <c r="N22" s="394" t="s">
        <v>101</v>
      </c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/>
      <c r="B23" s="394"/>
      <c r="C23" s="396"/>
      <c r="D23" s="394"/>
      <c r="E23" s="394"/>
      <c r="F23" s="394"/>
      <c r="G23" s="394" t="s">
        <v>350</v>
      </c>
      <c r="H23" s="394" t="n">
        <v>2</v>
      </c>
      <c r="I23" s="394" t="s">
        <v>95</v>
      </c>
      <c r="J23" s="394" t="s">
        <v>88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/>
      <c r="M23" s="394" t="s">
        <v>102</v>
      </c>
      <c r="N23" s="394" t="s">
        <v>82</v>
      </c>
      <c r="O23" s="394"/>
      <c r="P23" s="394"/>
      <c r="Q23" s="394"/>
      <c r="R23" s="394"/>
      <c r="S23" s="394"/>
      <c r="T23" s="394"/>
      <c r="U23" s="394"/>
      <c r="V23" s="394"/>
      <c r="W23" s="394"/>
      <c r="X23" s="394"/>
      <c r="Y23" s="394"/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73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/>
      <c r="B25" s="394"/>
      <c r="C25" s="396"/>
      <c r="D25" s="394"/>
      <c r="E25" s="394"/>
      <c r="F25" s="394"/>
      <c r="G25" s="394" t="s">
        <v>350</v>
      </c>
      <c r="H25" s="394"/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/>
      <c r="M25" s="394" t="s">
        <v>105</v>
      </c>
      <c r="N25" s="394" t="s">
        <v>106</v>
      </c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7"/>
      <c r="B26" s="394"/>
      <c r="C26" s="396"/>
      <c r="D26" s="394"/>
      <c r="E26" s="394"/>
      <c r="F26" s="394"/>
      <c r="G26" s="394" t="s">
        <v>350</v>
      </c>
      <c r="H26" s="394"/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350</v>
      </c>
      <c r="H27" s="394"/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/>
      <c r="M27" s="394"/>
      <c r="N27" s="394"/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customHeight="1" ht="44.85" r="28" spans="1:25">
      <c r="A28" s="397"/>
      <c r="B28" s="394"/>
      <c r="C28" s="396"/>
      <c r="D28" s="394"/>
      <c r="E28" s="394"/>
      <c r="F28" s="394"/>
      <c r="G28" s="394" t="s">
        <v>350</v>
      </c>
      <c r="H28" s="394"/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/>
      <c r="M28" s="394" t="s">
        <v>111</v>
      </c>
      <c r="N28" s="394" t="s">
        <v>112</v>
      </c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49</v>
      </c>
      <c r="B29" s="394"/>
      <c r="C29" s="396" t="s">
        <v>83</v>
      </c>
      <c r="D29" s="394" t="s">
        <v>113</v>
      </c>
      <c r="E29" s="394"/>
      <c r="F29" s="394" t="s">
        <v>73</v>
      </c>
      <c r="G29" s="394"/>
      <c r="H29" s="394"/>
      <c r="I29" s="394"/>
      <c r="J29" s="394"/>
      <c r="K29" s="394" t="str">
        <f>_XLFN.IFERROR(VLOOKUP(J29,Keyword!$C$2:$D$533,2,FALSE),"")</f>
        <v/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r="30" spans="1:25">
      <c r="A30" s="397"/>
      <c r="B30" s="394"/>
      <c r="C30" s="396"/>
      <c r="D30" s="394"/>
      <c r="E30" s="394"/>
      <c r="F30" s="394"/>
      <c r="G30" s="394" t="s">
        <v>350</v>
      </c>
      <c r="H30" s="394"/>
      <c r="I30" s="394" t="s">
        <v>114</v>
      </c>
      <c r="J30" s="394" t="s">
        <v>61</v>
      </c>
      <c r="K30" s="394" t="str">
        <f>_XLFN.IFERROR(VLOOKUP(J30,Keyword!$C$2:$D$533,2,FALSE),"")</f>
        <v>Input value into an input field
- Locator(*): Locator of the element to be inputted
- Value 1: The text to type in</v>
      </c>
      <c r="L30" s="394"/>
      <c r="M30" s="394" t="s">
        <v>105</v>
      </c>
      <c r="N30" s="394" t="s">
        <v>115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/>
      <c r="B31" s="394"/>
      <c r="C31" s="396"/>
      <c r="D31" s="394"/>
      <c r="E31" s="394"/>
      <c r="F31" s="394"/>
      <c r="G31" s="394" t="s">
        <v>350</v>
      </c>
      <c r="H31" s="394"/>
      <c r="I31" s="394" t="s">
        <v>107</v>
      </c>
      <c r="J31" s="394" t="s">
        <v>108</v>
      </c>
      <c r="K31" s="394" t="str">
        <f>_XLFN.IFERROR(VLOOKUP(J31,Keyword!$C$2:$D$533,2,FALSE),"")</f>
        <v>Press Tab key</v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350</v>
      </c>
      <c r="H32" s="394"/>
      <c r="I32" s="394" t="s">
        <v>109</v>
      </c>
      <c r="J32" s="394" t="s">
        <v>71</v>
      </c>
      <c r="K32" s="394" t="str">
        <f>_XLFN.IFERROR(VLOOKUP(J32,Keyword!$C$2:$D$533,2,FALSE),"")</f>
        <v>Wait until JQUERY AJAX request is finished
- Value 1: Maximum of waiting time in seconds. Default is 60(s)</v>
      </c>
      <c r="L32" s="394"/>
      <c r="M32" s="394"/>
      <c r="N32" s="394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350</v>
      </c>
      <c r="H33" s="394"/>
      <c r="I33" s="394" t="s">
        <v>116</v>
      </c>
      <c r="J33" s="394" t="s">
        <v>110</v>
      </c>
      <c r="K33" s="394" t="str">
        <f>_XLFN.IFERROR(VLOOKUP(J33,Keyword!$C$2:$D$533,2,FALSE),"")</f>
        <v>Verify text of label with specified value
- Locator(*): Locator of the label to be verified
- Value 1(*): The value will be compared to the text of label</v>
      </c>
      <c r="L33" s="394"/>
      <c r="M33" s="394" t="s">
        <v>117</v>
      </c>
      <c r="N33" s="394" t="s">
        <v>118</v>
      </c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 t="s">
        <v>49</v>
      </c>
      <c r="B34" s="394"/>
      <c r="C34" s="396" t="s">
        <v>83</v>
      </c>
      <c r="D34" s="394" t="s">
        <v>119</v>
      </c>
      <c r="E34" s="394"/>
      <c r="F34" s="394" t="s">
        <v>73</v>
      </c>
      <c r="G34" s="394"/>
      <c r="H34" s="394"/>
      <c r="I34" s="394"/>
      <c r="J34" s="394"/>
      <c r="K34" s="394" t="str">
        <f>_XLFN.IFERROR(VLOOKUP(J34,Keyword!$C$2:$D$533,2,FALSE),"")</f>
        <v/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350</v>
      </c>
      <c r="H35" s="394"/>
      <c r="I35" s="394" t="s">
        <v>120</v>
      </c>
      <c r="J35" s="394" t="s">
        <v>68</v>
      </c>
      <c r="K35" s="394" t="str">
        <f>_XLFN.IFERROR(VLOOKUP(J35,Keyword!$C$2:$D$533,2,FALSE),"")</f>
        <v>Click on the given element
- Locator(*): Locator of the element to be clicked</v>
      </c>
      <c r="L35" s="394"/>
      <c r="M35" s="394" t="s">
        <v>121</v>
      </c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/>
      <c r="B36" s="394"/>
      <c r="C36" s="396"/>
      <c r="D36" s="394"/>
      <c r="E36" s="394"/>
      <c r="F36" s="394"/>
      <c r="G36" s="394" t="s">
        <v>350</v>
      </c>
      <c r="H36" s="394"/>
      <c r="I36" s="394" t="s">
        <v>109</v>
      </c>
      <c r="J36" s="394" t="s">
        <v>71</v>
      </c>
      <c r="K36" s="394" t="str">
        <f>_XLFN.IFERROR(VLOOKUP(J36,Keyword!$C$2:$D$533,2,FALSE),"")</f>
        <v>Wait until JQUERY AJAX request is finished
- Value 1: Maximum of waiting time in seconds. Default is 60(s)</v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350</v>
      </c>
      <c r="H37" s="394"/>
      <c r="I37" s="394" t="s">
        <v>119</v>
      </c>
      <c r="J37" s="394" t="s">
        <v>110</v>
      </c>
      <c r="K37" s="394" t="str">
        <f>_XLFN.IFERROR(VLOOKUP(J37,Keyword!$C$2:$D$533,2,FALSE),"")</f>
        <v>Verify text of label with specified value
- Locator(*): Locator of the label to be verified
- Value 1(*): The value will be compared to the text of label</v>
      </c>
      <c r="L37" s="394"/>
      <c r="M37" s="394" t="s">
        <v>111</v>
      </c>
      <c r="N37" s="394" t="s">
        <v>122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49</v>
      </c>
      <c r="B38" s="394"/>
      <c r="C38" s="396" t="s">
        <v>83</v>
      </c>
      <c r="D38" s="394" t="s">
        <v>123</v>
      </c>
      <c r="E38" s="394"/>
      <c r="F38" s="394" t="s">
        <v>53</v>
      </c>
      <c r="G38" s="429" t="s">
        <v>352</v>
      </c>
      <c r="H38" s="394"/>
      <c r="I38" s="394"/>
      <c r="J38" s="394"/>
      <c r="K38" s="394" t="str">
        <f>_XLFN.IFERROR(VLOOKUP(J38,Keyword!$C$2:$D$533,2,FALSE),"")</f>
        <v/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 t="s">
        <v>54</v>
      </c>
      <c r="B39" s="394" t="s">
        <v>54</v>
      </c>
      <c r="C39" s="396" t="s">
        <v>54</v>
      </c>
      <c r="D39" s="394" t="s">
        <v>54</v>
      </c>
      <c r="E39" s="394" t="s">
        <v>54</v>
      </c>
      <c r="F39" s="394" t="s">
        <v>54</v>
      </c>
      <c r="G39" s="394" t="s">
        <v>352</v>
      </c>
      <c r="H39" s="394" t="s">
        <v>54</v>
      </c>
      <c r="I39" s="394" t="s">
        <v>124</v>
      </c>
      <c r="J39" s="394" t="s">
        <v>61</v>
      </c>
      <c r="K39" s="394" t="str">
        <f>_XLFN.IFERROR(VLOOKUP(J39,Keyword!$C$2:$D$533,2,FALSE),"")</f>
        <v>Input value into an input field
- Locator(*): Locator of the element to be inputted
- Value 1: The text to type in</v>
      </c>
      <c r="L39" s="394" t="s">
        <v>54</v>
      </c>
      <c r="M39" s="394" t="s">
        <v>125</v>
      </c>
      <c r="N39" s="394" t="s">
        <v>126</v>
      </c>
      <c r="O39" s="394" t="s">
        <v>54</v>
      </c>
      <c r="P39" s="394" t="s">
        <v>54</v>
      </c>
      <c r="Q39" s="394" t="s">
        <v>54</v>
      </c>
      <c r="R39" s="394" t="s">
        <v>54</v>
      </c>
      <c r="S39" s="394" t="s">
        <v>54</v>
      </c>
      <c r="T39" s="394" t="s">
        <v>54</v>
      </c>
      <c r="U39" s="394" t="s">
        <v>54</v>
      </c>
      <c r="V39" s="394" t="s">
        <v>54</v>
      </c>
      <c r="W39" s="394" t="s">
        <v>54</v>
      </c>
      <c r="X39" s="394" t="s">
        <v>54</v>
      </c>
      <c r="Y39" s="394" t="s">
        <v>54</v>
      </c>
    </row>
    <row r="40" spans="1:25">
      <c r="A40" s="397" t="s">
        <v>54</v>
      </c>
      <c r="B40" s="394" t="s">
        <v>54</v>
      </c>
      <c r="C40" s="396" t="s">
        <v>54</v>
      </c>
      <c r="D40" s="394" t="s">
        <v>54</v>
      </c>
      <c r="E40" s="394" t="s">
        <v>54</v>
      </c>
      <c r="F40" s="394" t="s">
        <v>54</v>
      </c>
      <c r="G40" s="394" t="s">
        <v>352</v>
      </c>
      <c r="H40" s="394" t="s">
        <v>54</v>
      </c>
      <c r="I40" s="394" t="s">
        <v>127</v>
      </c>
      <c r="J40" s="394" t="s">
        <v>68</v>
      </c>
      <c r="K40" s="394" t="str">
        <f>_XLFN.IFERROR(VLOOKUP(J40,Keyword!$C$2:$D$533,2,FALSE),"")</f>
        <v>Click on the given element
- Locator(*): Locator of the element to be clicked</v>
      </c>
      <c r="L40" s="394" t="s">
        <v>54</v>
      </c>
      <c r="M40" s="394" t="s">
        <v>128</v>
      </c>
      <c r="N40" s="394" t="s">
        <v>54</v>
      </c>
      <c r="O40" s="394" t="s">
        <v>54</v>
      </c>
      <c r="P40" s="394" t="s">
        <v>54</v>
      </c>
      <c r="Q40" s="394" t="s">
        <v>54</v>
      </c>
      <c r="R40" s="394" t="s">
        <v>54</v>
      </c>
      <c r="S40" s="394" t="s">
        <v>54</v>
      </c>
      <c r="T40" s="394" t="s">
        <v>54</v>
      </c>
      <c r="U40" s="394" t="s">
        <v>54</v>
      </c>
      <c r="V40" s="394" t="s">
        <v>54</v>
      </c>
      <c r="W40" s="394" t="s">
        <v>54</v>
      </c>
      <c r="X40" s="394" t="s">
        <v>54</v>
      </c>
      <c r="Y40" s="394" t="s">
        <v>54</v>
      </c>
    </row>
    <row r="41" spans="1:25">
      <c r="A41" s="397" t="s">
        <v>54</v>
      </c>
      <c r="B41" s="394" t="s">
        <v>54</v>
      </c>
      <c r="C41" s="396" t="s">
        <v>54</v>
      </c>
      <c r="D41" s="394" t="s">
        <v>54</v>
      </c>
      <c r="E41" s="394" t="s">
        <v>54</v>
      </c>
      <c r="F41" s="394" t="s">
        <v>54</v>
      </c>
      <c r="G41" s="394" t="s">
        <v>352</v>
      </c>
      <c r="H41" s="394" t="s">
        <v>54</v>
      </c>
      <c r="I41" s="394" t="s">
        <v>129</v>
      </c>
      <c r="J41" s="394" t="s">
        <v>68</v>
      </c>
      <c r="K41" s="394"/>
      <c r="L41" s="394" t="s">
        <v>54</v>
      </c>
      <c r="M41" s="394" t="s">
        <v>130</v>
      </c>
      <c r="N41" s="394" t="s">
        <v>54</v>
      </c>
      <c r="O41" s="394" t="s">
        <v>54</v>
      </c>
      <c r="P41" s="394" t="s">
        <v>54</v>
      </c>
      <c r="Q41" s="394" t="s">
        <v>54</v>
      </c>
      <c r="R41" s="394" t="s">
        <v>54</v>
      </c>
      <c r="S41" s="394" t="s">
        <v>54</v>
      </c>
      <c r="T41" s="394" t="s">
        <v>54</v>
      </c>
      <c r="U41" s="394" t="s">
        <v>54</v>
      </c>
      <c r="V41" s="394" t="s">
        <v>54</v>
      </c>
      <c r="W41" s="394" t="s">
        <v>54</v>
      </c>
      <c r="X41" s="394" t="s">
        <v>54</v>
      </c>
      <c r="Y41" s="394" t="s">
        <v>54</v>
      </c>
    </row>
    <row r="42" spans="1:25">
      <c r="A42" s="397" t="s">
        <v>54</v>
      </c>
      <c r="B42" s="394" t="s">
        <v>54</v>
      </c>
      <c r="C42" s="396" t="s">
        <v>54</v>
      </c>
      <c r="D42" s="394" t="s">
        <v>54</v>
      </c>
      <c r="E42" s="394" t="s">
        <v>54</v>
      </c>
      <c r="F42" s="394" t="s">
        <v>54</v>
      </c>
      <c r="G42" s="394" t="s">
        <v>352</v>
      </c>
      <c r="H42" s="394" t="s">
        <v>54</v>
      </c>
      <c r="I42" s="394" t="s">
        <v>123</v>
      </c>
      <c r="J42" s="394" t="s">
        <v>110</v>
      </c>
      <c r="K42" s="394" t="str">
        <f>_XLFN.IFERROR(VLOOKUP(J42,Keyword!$C$2:$D$533,2,FALSE),"")</f>
        <v>Verify text of label with specified value
- Locator(*): Locator of the label to be verified
- Value 1(*): The value will be compared to the text of label</v>
      </c>
      <c r="L42" s="394" t="s">
        <v>54</v>
      </c>
      <c r="M42" s="394" t="s">
        <v>125</v>
      </c>
      <c r="N42" s="394" t="s">
        <v>54</v>
      </c>
      <c r="O42" s="394" t="s">
        <v>54</v>
      </c>
      <c r="P42" s="394" t="s">
        <v>54</v>
      </c>
      <c r="Q42" s="394" t="s">
        <v>54</v>
      </c>
      <c r="R42" s="394" t="s">
        <v>54</v>
      </c>
      <c r="S42" s="394" t="s">
        <v>54</v>
      </c>
      <c r="T42" s="394" t="s">
        <v>54</v>
      </c>
      <c r="U42" s="394" t="s">
        <v>54</v>
      </c>
      <c r="V42" s="394" t="s">
        <v>54</v>
      </c>
      <c r="W42" s="394" t="s">
        <v>54</v>
      </c>
      <c r="X42" s="394" t="s">
        <v>54</v>
      </c>
      <c r="Y42" s="394" t="s">
        <v>54</v>
      </c>
    </row>
    <row r="43" spans="1:25">
      <c r="A43" s="397" t="s">
        <v>49</v>
      </c>
      <c r="B43" s="394"/>
      <c r="C43" s="396" t="s">
        <v>83</v>
      </c>
      <c r="D43" s="394" t="s">
        <v>103</v>
      </c>
      <c r="E43" s="394"/>
      <c r="F43" s="394" t="s">
        <v>53</v>
      </c>
      <c r="G43" s="437" t="s">
        <v>352</v>
      </c>
      <c r="H43" s="394"/>
      <c r="I43" s="394"/>
      <c r="J43" s="394"/>
      <c r="K43" s="394" t="str">
        <f>_XLFN.IFERROR(VLOOKUP(J43,Keyword!$C$2:$D$533,2,FALSE),"")</f>
        <v/>
      </c>
      <c r="L43" s="394"/>
      <c r="M43" s="394"/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 t="s">
        <v>54</v>
      </c>
      <c r="B44" s="394" t="s">
        <v>54</v>
      </c>
      <c r="C44" s="396" t="s">
        <v>54</v>
      </c>
      <c r="D44" s="394" t="s">
        <v>54</v>
      </c>
      <c r="E44" s="394" t="s">
        <v>54</v>
      </c>
      <c r="F44" s="394" t="s">
        <v>54</v>
      </c>
      <c r="G44" s="394" t="s">
        <v>352</v>
      </c>
      <c r="H44" s="394" t="s">
        <v>54</v>
      </c>
      <c r="I44" s="394" t="s">
        <v>54</v>
      </c>
      <c r="J44" s="394" t="s">
        <v>77</v>
      </c>
      <c r="K44" s="394"/>
      <c r="L44" s="394" t="s">
        <v>54</v>
      </c>
      <c r="M44" s="394" t="s">
        <v>54</v>
      </c>
      <c r="N44" s="394" t="s">
        <v>351</v>
      </c>
      <c r="O44" s="394" t="s">
        <v>54</v>
      </c>
      <c r="P44" s="394" t="s">
        <v>54</v>
      </c>
      <c r="Q44" s="394" t="s">
        <v>54</v>
      </c>
      <c r="R44" s="394" t="s">
        <v>54</v>
      </c>
      <c r="S44" s="394" t="s">
        <v>54</v>
      </c>
      <c r="T44" s="394" t="s">
        <v>54</v>
      </c>
      <c r="U44" s="394" t="s">
        <v>54</v>
      </c>
      <c r="V44" s="394" t="s">
        <v>54</v>
      </c>
      <c r="W44" s="394" t="s">
        <v>54</v>
      </c>
      <c r="X44" s="394" t="s">
        <v>54</v>
      </c>
      <c r="Y44" s="394" t="s">
        <v>54</v>
      </c>
    </row>
    <row r="45" spans="1:25">
      <c r="A45" s="408" t="s">
        <v>54</v>
      </c>
      <c r="B45" s="408" t="s">
        <v>54</v>
      </c>
      <c r="C45" s="409" t="s">
        <v>131</v>
      </c>
      <c r="D45" s="409" t="s">
        <v>54</v>
      </c>
      <c r="E45" s="409" t="s">
        <v>54</v>
      </c>
      <c r="F45" s="409" t="s">
        <v>53</v>
      </c>
      <c r="G45" s="408" t="s">
        <v>54</v>
      </c>
      <c r="H45" s="408" t="s">
        <v>54</v>
      </c>
      <c r="I45" s="408" t="s">
        <v>54</v>
      </c>
      <c r="J45" s="408"/>
      <c r="K45" s="408"/>
      <c r="L45" s="408" t="s">
        <v>54</v>
      </c>
      <c r="M45" s="408" t="s">
        <v>54</v>
      </c>
      <c r="N45" s="408" t="s">
        <v>54</v>
      </c>
      <c r="O45" s="408" t="s">
        <v>54</v>
      </c>
      <c r="P45" s="408" t="s">
        <v>54</v>
      </c>
      <c r="Q45" s="408" t="s">
        <v>54</v>
      </c>
      <c r="R45" s="408" t="s">
        <v>54</v>
      </c>
      <c r="S45" s="408" t="s">
        <v>54</v>
      </c>
      <c r="T45" s="408"/>
      <c r="U45" s="408"/>
      <c r="V45" s="408"/>
      <c r="W45" s="408"/>
      <c r="X45" s="408"/>
      <c r="Y45" s="408"/>
    </row>
  </sheetData>
  <autoFilter ref="A1:Y45"/>
  <dataValidations count="23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9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8" type="list" view="0">
      <formula1>Keyword!$C$2:$C$500</formula1>
    </dataValidation>
    <dataValidation allowBlank="1" errorStyle="stop" operator="between" showInputMessage="1" sqref="J43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34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3440" l="56" r="56" t="56" vertical="0"/>
        <pm:footer xmlns:pm="smNativeData" b="56" borderId="0" fillId="0" id="1542773440" l="56" r="56" t="56" vertical="2"/>
        <pm:paperBin xmlns:pm="smNativeData" Id="0" id="1542773440" type="0" value="0"/>
        <pm:paperBin xmlns:pm="smNativeData" Id="1" id="1542773440" type="0" value="0"/>
      </ext>
    </extLst>
  </headerFooter>
  <extLst>
    <ext uri="smNativeData">
      <pm:sheetPrefs xmlns:pm="smNativeData" day="15427734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26" sqref="F26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132</v>
      </c>
    </row>
    <row r="3" spans="5:5">
      <c r="E3" s="411" t="s">
        <v>98</v>
      </c>
    </row>
    <row r="4" spans="5:6">
      <c r="E4" s="411" t="s">
        <v>133</v>
      </c>
      <c r="F4" s="412" t="s">
        <v>50</v>
      </c>
    </row>
  </sheetData>
  <printOptions>
    <extLst>
      <ext uri="smNativeData">
        <pm:pageFlags xmlns:pm="smNativeData" autoHeightFooter="0" autoHeightHeader="0" fitToPageBoth="0" id="15427734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3440" l="56" r="56" t="56" vertical="0"/>
        <pm:footer xmlns:pm="smNativeData" b="56" borderId="0" fillId="0" id="1542773440" l="56" r="56" t="56" vertical="2"/>
        <pm:paperBin xmlns:pm="smNativeData" Id="0" id="1542773440" type="0" value="0"/>
        <pm:paperBin xmlns:pm="smNativeData" Id="1" id="1542773440" type="0" value="0"/>
      </ext>
    </extLst>
  </headerFooter>
  <extLst>
    <ext uri="smNativeData">
      <pm:sheetPrefs xmlns:pm="smNativeData" day="15427734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134</v>
      </c>
      <c r="G1" s="395" t="s">
        <v>354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135</v>
      </c>
      <c r="G2" s="395" t="s">
        <v>355</v>
      </c>
      <c r="H2" s="384"/>
      <c r="I2" s="384"/>
      <c r="J2" s="383"/>
    </row>
    <row customHeight="1" ht="15" r="3" spans="1:10">
      <c r="A3" s="381"/>
      <c r="B3" s="403" t="s">
        <v>136</v>
      </c>
      <c r="C3" s="403"/>
      <c r="D3" s="403"/>
      <c r="E3" s="403"/>
      <c r="F3" s="393" t="s">
        <v>137</v>
      </c>
      <c r="G3" s="395" t="s">
        <v>356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138</v>
      </c>
      <c r="I7" s="393" t="s">
        <v>139</v>
      </c>
      <c r="J7" s="383"/>
    </row>
    <row customHeight="1" ht="15" r="8" spans="1:10">
      <c r="A8" s="381"/>
      <c r="B8" s="404" t="s">
        <v>140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138</v>
      </c>
      <c r="D11" s="393" t="s">
        <v>139</v>
      </c>
      <c r="E11" s="393" t="s">
        <v>141</v>
      </c>
      <c r="F11" s="393" t="s">
        <v>142</v>
      </c>
      <c r="G11" s="393" t="s">
        <v>143</v>
      </c>
      <c r="H11" s="393" t="s">
        <v>144</v>
      </c>
      <c r="I11" s="393" t="s">
        <v>145</v>
      </c>
      <c r="J11" s="381"/>
    </row>
    <row customHeight="1" ht="13.50" r="12" spans="1:10">
      <c r="A12" s="385"/>
      <c r="B12" s="507" t="s">
        <v>49</v>
      </c>
      <c r="C12" s="448">
        <f>COUNTIFS(TC!$A$2:$A$65000,B12,TC!$G$2:$G$65000,"PASS")</f>
      </c>
      <c r="D12" s="456">
        <f>COUNTIFS(TC!$A$2:$A$65000,B12,TC!$G$2:$G$65000,"FAIL")</f>
      </c>
      <c r="E12" s="464">
        <f>COUNTIFS(TC!$A$2:$A$65000,B12,TC!$G$2:$G$65000,"SKIP")</f>
      </c>
      <c r="F12" s="472">
        <f>COUNTIF(TC!$A$2:$A$64788,B12)</f>
      </c>
      <c r="G12" s="481">
        <f>IF(F12=0,0,(C12+D12)/F12)</f>
      </c>
      <c r="H12" s="489">
        <f>IF((F12-E12)=0,0,C12/(F12-E12))</f>
      </c>
      <c r="I12" s="497">
        <f>IF((F12-E12)=0,0,D12/(F12-E12))</f>
      </c>
      <c r="J12" s="381"/>
    </row>
    <row customHeight="1" ht="13.50" r="13" spans="1:10">
      <c r="A13" s="385"/>
      <c r="B13" s="514" t="s">
        <v>353</v>
      </c>
      <c r="C13" s="522">
        <f>SUM(C12:C12)</f>
      </c>
      <c r="D13" s="530">
        <f>SUM(D12:D12)</f>
      </c>
      <c r="E13" s="538">
        <f>SUM(E12:E12)</f>
      </c>
      <c r="F13" s="546">
        <f>SUM(F12:F12)</f>
      </c>
      <c r="G13" s="556">
        <f>IF(F13=0,0,(C13+D13)/F13)</f>
      </c>
      <c r="H13" s="564">
        <f>IF((F13-E13)=0,0,(C13)/(F13-E13))</f>
      </c>
      <c r="I13" s="572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34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3440" l="56" r="56" t="56" vertical="0"/>
        <pm:footer xmlns:pm="smNativeData" b="56" borderId="0" fillId="0" id="1542773440" l="56" r="56" t="56" vertical="2"/>
        <pm:paperBin xmlns:pm="smNativeData" Id="0" id="1542773440" type="0" value="0"/>
        <pm:paperBin xmlns:pm="smNativeData" Id="1" id="1542773440" type="0" value="0"/>
      </ext>
    </extLst>
  </headerFooter>
  <drawing r:id="rId1"/>
  <extLst>
    <ext uri="smNativeData">
      <pm:sheetPrefs xmlns:pm="smNativeData" day="15427734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146</v>
      </c>
      <c r="B1" s="393" t="s">
        <v>35</v>
      </c>
      <c r="C1" s="393" t="s">
        <v>33</v>
      </c>
      <c r="D1" s="393" t="s">
        <v>147</v>
      </c>
    </row>
    <row r="2" spans="1:4">
      <c r="A2" s="398" t="s">
        <v>148</v>
      </c>
      <c r="B2" s="398" t="s">
        <v>149</v>
      </c>
      <c r="C2" s="398" t="s">
        <v>150</v>
      </c>
      <c r="D2" s="394" t="s">
        <v>151</v>
      </c>
    </row>
    <row r="3" spans="1:4">
      <c r="A3" s="398" t="s">
        <v>148</v>
      </c>
      <c r="B3" s="398" t="s">
        <v>149</v>
      </c>
      <c r="C3" s="398" t="s">
        <v>152</v>
      </c>
      <c r="D3" s="394" t="s">
        <v>153</v>
      </c>
    </row>
    <row r="4" spans="1:4">
      <c r="A4" s="398" t="s">
        <v>148</v>
      </c>
      <c r="B4" s="398" t="s">
        <v>149</v>
      </c>
      <c r="C4" s="398" t="s">
        <v>154</v>
      </c>
      <c r="D4" s="394" t="s">
        <v>155</v>
      </c>
    </row>
    <row r="5" spans="1:4">
      <c r="A5" s="398" t="s">
        <v>148</v>
      </c>
      <c r="B5" s="398" t="s">
        <v>149</v>
      </c>
      <c r="C5" s="398" t="s">
        <v>156</v>
      </c>
      <c r="D5" s="394" t="s">
        <v>157</v>
      </c>
    </row>
    <row r="6" spans="1:4">
      <c r="A6" s="398" t="s">
        <v>148</v>
      </c>
      <c r="B6" s="398" t="s">
        <v>158</v>
      </c>
      <c r="C6" s="398" t="s">
        <v>56</v>
      </c>
      <c r="D6" s="394" t="s">
        <v>159</v>
      </c>
    </row>
    <row r="7" spans="1:4">
      <c r="A7" s="398" t="s">
        <v>148</v>
      </c>
      <c r="B7" s="398" t="s">
        <v>158</v>
      </c>
      <c r="C7" s="398" t="s">
        <v>160</v>
      </c>
      <c r="D7" s="394" t="s">
        <v>161</v>
      </c>
    </row>
    <row r="8" spans="1:4">
      <c r="A8" s="398" t="s">
        <v>148</v>
      </c>
      <c r="B8" s="398" t="s">
        <v>158</v>
      </c>
      <c r="C8" s="398" t="s">
        <v>162</v>
      </c>
      <c r="D8" s="394" t="s">
        <v>163</v>
      </c>
    </row>
    <row r="9" spans="1:4">
      <c r="A9" s="398" t="s">
        <v>148</v>
      </c>
      <c r="B9" s="398" t="s">
        <v>158</v>
      </c>
      <c r="C9" s="398" t="s">
        <v>164</v>
      </c>
      <c r="D9" s="394" t="s">
        <v>165</v>
      </c>
    </row>
    <row r="10" spans="1:4">
      <c r="A10" s="398" t="s">
        <v>148</v>
      </c>
      <c r="B10" s="398" t="s">
        <v>158</v>
      </c>
      <c r="C10" s="398" t="s">
        <v>166</v>
      </c>
      <c r="D10" s="394" t="s">
        <v>167</v>
      </c>
    </row>
    <row r="11" spans="1:4">
      <c r="A11" s="398" t="s">
        <v>148</v>
      </c>
      <c r="B11" s="398" t="s">
        <v>168</v>
      </c>
      <c r="C11" s="398" t="s">
        <v>61</v>
      </c>
      <c r="D11" s="394" t="s">
        <v>169</v>
      </c>
    </row>
    <row r="12" spans="1:4">
      <c r="A12" s="398" t="s">
        <v>148</v>
      </c>
      <c r="B12" s="398" t="s">
        <v>168</v>
      </c>
      <c r="C12" s="398" t="s">
        <v>170</v>
      </c>
      <c r="D12" s="394" t="s">
        <v>171</v>
      </c>
    </row>
    <row r="13" spans="1:4">
      <c r="A13" s="398" t="s">
        <v>148</v>
      </c>
      <c r="B13" s="398" t="s">
        <v>168</v>
      </c>
      <c r="C13" s="398" t="s">
        <v>110</v>
      </c>
      <c r="D13" s="394" t="s">
        <v>172</v>
      </c>
    </row>
    <row r="14" spans="1:4">
      <c r="A14" s="398" t="s">
        <v>148</v>
      </c>
      <c r="B14" s="398" t="s">
        <v>168</v>
      </c>
      <c r="C14" s="398" t="s">
        <v>173</v>
      </c>
      <c r="D14" s="394" t="s">
        <v>174</v>
      </c>
    </row>
    <row r="15" spans="1:4">
      <c r="A15" s="398" t="s">
        <v>148</v>
      </c>
      <c r="B15" s="398" t="s">
        <v>168</v>
      </c>
      <c r="C15" s="398" t="s">
        <v>80</v>
      </c>
      <c r="D15" s="394" t="s">
        <v>175</v>
      </c>
    </row>
    <row r="16" spans="1:4">
      <c r="A16" s="398" t="s">
        <v>148</v>
      </c>
      <c r="B16" s="398" t="s">
        <v>168</v>
      </c>
      <c r="C16" s="398" t="s">
        <v>176</v>
      </c>
      <c r="D16" s="394" t="s">
        <v>177</v>
      </c>
    </row>
    <row r="17" spans="1:4">
      <c r="A17" s="398" t="s">
        <v>148</v>
      </c>
      <c r="B17" s="398" t="s">
        <v>178</v>
      </c>
      <c r="C17" s="398" t="s">
        <v>179</v>
      </c>
      <c r="D17" s="394" t="s">
        <v>180</v>
      </c>
    </row>
    <row r="18" spans="1:4">
      <c r="A18" s="398" t="s">
        <v>148</v>
      </c>
      <c r="B18" s="398" t="s">
        <v>178</v>
      </c>
      <c r="C18" s="398" t="s">
        <v>181</v>
      </c>
      <c r="D18" s="394" t="s">
        <v>182</v>
      </c>
    </row>
    <row r="19" spans="1:4">
      <c r="A19" s="398" t="s">
        <v>148</v>
      </c>
      <c r="B19" s="398" t="s">
        <v>178</v>
      </c>
      <c r="C19" s="398" t="s">
        <v>183</v>
      </c>
      <c r="D19" s="394" t="s">
        <v>184</v>
      </c>
    </row>
    <row r="20" spans="1:4">
      <c r="A20" s="398" t="s">
        <v>148</v>
      </c>
      <c r="B20" s="398" t="s">
        <v>178</v>
      </c>
      <c r="C20" s="398" t="s">
        <v>185</v>
      </c>
      <c r="D20" s="394" t="s">
        <v>186</v>
      </c>
    </row>
    <row r="21" spans="1:4">
      <c r="A21" s="398" t="s">
        <v>148</v>
      </c>
      <c r="B21" s="398" t="s">
        <v>187</v>
      </c>
      <c r="C21" s="398" t="s">
        <v>188</v>
      </c>
      <c r="D21" s="394" t="s">
        <v>189</v>
      </c>
    </row>
    <row r="22" spans="1:4">
      <c r="A22" s="398" t="s">
        <v>148</v>
      </c>
      <c r="B22" s="398" t="s">
        <v>187</v>
      </c>
      <c r="C22" s="398" t="s">
        <v>190</v>
      </c>
      <c r="D22" s="394" t="s">
        <v>191</v>
      </c>
    </row>
    <row r="23" spans="1:4">
      <c r="A23" s="398" t="s">
        <v>148</v>
      </c>
      <c r="B23" s="398" t="s">
        <v>187</v>
      </c>
      <c r="C23" s="398" t="s">
        <v>192</v>
      </c>
      <c r="D23" s="394" t="s">
        <v>193</v>
      </c>
    </row>
    <row r="24" spans="1:4">
      <c r="A24" s="398" t="s">
        <v>148</v>
      </c>
      <c r="B24" s="398" t="s">
        <v>187</v>
      </c>
      <c r="C24" s="398" t="s">
        <v>194</v>
      </c>
      <c r="D24" s="394" t="s">
        <v>195</v>
      </c>
    </row>
    <row r="25" spans="1:4">
      <c r="A25" s="398" t="s">
        <v>148</v>
      </c>
      <c r="B25" s="398" t="s">
        <v>196</v>
      </c>
      <c r="C25" s="398" t="s">
        <v>197</v>
      </c>
      <c r="D25" s="394" t="s">
        <v>198</v>
      </c>
    </row>
    <row r="26" spans="1:4">
      <c r="A26" s="398" t="s">
        <v>148</v>
      </c>
      <c r="B26" s="398" t="s">
        <v>196</v>
      </c>
      <c r="C26" s="398" t="s">
        <v>199</v>
      </c>
      <c r="D26" s="394" t="s">
        <v>200</v>
      </c>
    </row>
    <row r="27" spans="1:4">
      <c r="A27" s="398" t="s">
        <v>148</v>
      </c>
      <c r="B27" s="398" t="s">
        <v>196</v>
      </c>
      <c r="C27" s="398" t="s">
        <v>201</v>
      </c>
      <c r="D27" s="394" t="s">
        <v>202</v>
      </c>
    </row>
    <row r="28" spans="1:4">
      <c r="A28" s="398" t="s">
        <v>148</v>
      </c>
      <c r="B28" s="398" t="s">
        <v>196</v>
      </c>
      <c r="C28" s="398" t="s">
        <v>203</v>
      </c>
      <c r="D28" s="394" t="s">
        <v>204</v>
      </c>
    </row>
    <row r="29" spans="1:4">
      <c r="A29" s="398" t="s">
        <v>148</v>
      </c>
      <c r="B29" s="398" t="s">
        <v>205</v>
      </c>
      <c r="C29" s="398" t="s">
        <v>206</v>
      </c>
      <c r="D29" s="394" t="s">
        <v>207</v>
      </c>
    </row>
    <row r="30" spans="1:4">
      <c r="A30" s="398" t="s">
        <v>148</v>
      </c>
      <c r="B30" s="398" t="s">
        <v>205</v>
      </c>
      <c r="C30" s="398" t="s">
        <v>208</v>
      </c>
      <c r="D30" s="394" t="s">
        <v>209</v>
      </c>
    </row>
    <row r="31" spans="1:4">
      <c r="A31" s="398" t="s">
        <v>148</v>
      </c>
      <c r="B31" s="398" t="s">
        <v>205</v>
      </c>
      <c r="C31" s="398" t="s">
        <v>210</v>
      </c>
      <c r="D31" s="394" t="s">
        <v>211</v>
      </c>
    </row>
    <row r="32" spans="1:4">
      <c r="A32" s="398" t="s">
        <v>148</v>
      </c>
      <c r="B32" s="398" t="s">
        <v>205</v>
      </c>
      <c r="C32" s="398" t="s">
        <v>212</v>
      </c>
      <c r="D32" s="394" t="s">
        <v>213</v>
      </c>
    </row>
    <row r="33" spans="1:4">
      <c r="A33" s="398" t="s">
        <v>148</v>
      </c>
      <c r="B33" s="398" t="s">
        <v>214</v>
      </c>
      <c r="C33" s="398" t="s">
        <v>97</v>
      </c>
      <c r="D33" s="394" t="s">
        <v>215</v>
      </c>
    </row>
    <row r="34" spans="1:4">
      <c r="A34" s="398" t="s">
        <v>148</v>
      </c>
      <c r="B34" s="398" t="s">
        <v>214</v>
      </c>
      <c r="C34" s="398" t="s">
        <v>216</v>
      </c>
      <c r="D34" s="394" t="s">
        <v>217</v>
      </c>
    </row>
    <row r="35" spans="1:4">
      <c r="A35" s="398" t="s">
        <v>148</v>
      </c>
      <c r="B35" s="398" t="s">
        <v>214</v>
      </c>
      <c r="C35" s="398" t="s">
        <v>218</v>
      </c>
      <c r="D35" s="394" t="s">
        <v>219</v>
      </c>
    </row>
    <row r="36" spans="1:4">
      <c r="A36" s="398" t="s">
        <v>148</v>
      </c>
      <c r="B36" s="398" t="s">
        <v>214</v>
      </c>
      <c r="C36" s="398" t="s">
        <v>220</v>
      </c>
      <c r="D36" s="394" t="s">
        <v>221</v>
      </c>
    </row>
    <row r="37" spans="1:4">
      <c r="A37" s="398" t="s">
        <v>148</v>
      </c>
      <c r="B37" s="398" t="s">
        <v>214</v>
      </c>
      <c r="C37" s="398" t="s">
        <v>222</v>
      </c>
      <c r="D37" s="394" t="s">
        <v>223</v>
      </c>
    </row>
    <row r="38" spans="1:4">
      <c r="A38" s="398" t="s">
        <v>148</v>
      </c>
      <c r="B38" s="398" t="s">
        <v>214</v>
      </c>
      <c r="C38" s="398" t="s">
        <v>224</v>
      </c>
      <c r="D38" s="394" t="s">
        <v>225</v>
      </c>
    </row>
    <row r="39" spans="1:4">
      <c r="A39" s="398" t="s">
        <v>148</v>
      </c>
      <c r="B39" s="398" t="s">
        <v>214</v>
      </c>
      <c r="C39" s="398" t="s">
        <v>226</v>
      </c>
      <c r="D39" s="394" t="s">
        <v>227</v>
      </c>
    </row>
    <row r="40" spans="1:4">
      <c r="A40" s="398" t="s">
        <v>148</v>
      </c>
      <c r="B40" s="398" t="s">
        <v>214</v>
      </c>
      <c r="C40" s="398" t="s">
        <v>228</v>
      </c>
      <c r="D40" s="394" t="s">
        <v>229</v>
      </c>
    </row>
    <row r="41" spans="1:4">
      <c r="A41" s="398" t="s">
        <v>148</v>
      </c>
      <c r="B41" s="398" t="s">
        <v>214</v>
      </c>
      <c r="C41" s="398" t="s">
        <v>230</v>
      </c>
      <c r="D41" s="394" t="s">
        <v>231</v>
      </c>
    </row>
    <row r="42" spans="1:4">
      <c r="A42" s="398" t="s">
        <v>148</v>
      </c>
      <c r="B42" s="398" t="s">
        <v>214</v>
      </c>
      <c r="C42" s="398" t="s">
        <v>232</v>
      </c>
      <c r="D42" s="394" t="s">
        <v>233</v>
      </c>
    </row>
    <row r="43" spans="1:4">
      <c r="A43" s="398" t="s">
        <v>148</v>
      </c>
      <c r="B43" s="398" t="s">
        <v>214</v>
      </c>
      <c r="C43" s="398" t="s">
        <v>93</v>
      </c>
      <c r="D43" s="394" t="s">
        <v>234</v>
      </c>
    </row>
    <row r="44" spans="1:4">
      <c r="A44" s="398" t="s">
        <v>148</v>
      </c>
      <c r="B44" s="398" t="s">
        <v>214</v>
      </c>
      <c r="C44" s="398" t="s">
        <v>88</v>
      </c>
      <c r="D44" s="394" t="s">
        <v>235</v>
      </c>
    </row>
    <row r="45" spans="1:4">
      <c r="A45" s="398" t="s">
        <v>148</v>
      </c>
      <c r="B45" s="398" t="s">
        <v>214</v>
      </c>
      <c r="C45" s="398" t="s">
        <v>236</v>
      </c>
      <c r="D45" s="394" t="s">
        <v>237</v>
      </c>
    </row>
    <row r="46" spans="1:4">
      <c r="A46" s="398" t="s">
        <v>148</v>
      </c>
      <c r="B46" s="398" t="s">
        <v>238</v>
      </c>
      <c r="C46" s="398" t="s">
        <v>239</v>
      </c>
      <c r="D46" s="394" t="s">
        <v>240</v>
      </c>
    </row>
    <row r="47" spans="1:4">
      <c r="A47" s="398" t="s">
        <v>148</v>
      </c>
      <c r="B47" s="398" t="s">
        <v>241</v>
      </c>
      <c r="C47" s="398" t="s">
        <v>68</v>
      </c>
      <c r="D47" s="394" t="s">
        <v>242</v>
      </c>
    </row>
    <row r="48" spans="1:4">
      <c r="A48" s="398" t="s">
        <v>148</v>
      </c>
      <c r="B48" s="398" t="s">
        <v>241</v>
      </c>
      <c r="C48" s="398" t="s">
        <v>243</v>
      </c>
      <c r="D48" s="394" t="s">
        <v>244</v>
      </c>
    </row>
    <row r="49" spans="1:4">
      <c r="A49" s="398" t="s">
        <v>148</v>
      </c>
      <c r="B49" s="398" t="s">
        <v>241</v>
      </c>
      <c r="C49" s="398" t="s">
        <v>245</v>
      </c>
      <c r="D49" s="394" t="s">
        <v>246</v>
      </c>
    </row>
    <row r="50" spans="1:4">
      <c r="A50" s="398" t="s">
        <v>148</v>
      </c>
      <c r="B50" s="398" t="s">
        <v>241</v>
      </c>
      <c r="C50" s="398" t="s">
        <v>247</v>
      </c>
      <c r="D50" s="394" t="s">
        <v>248</v>
      </c>
    </row>
    <row r="51" spans="1:4">
      <c r="A51" s="398" t="s">
        <v>148</v>
      </c>
      <c r="B51" s="398" t="s">
        <v>241</v>
      </c>
      <c r="C51" s="398" t="s">
        <v>71</v>
      </c>
      <c r="D51" s="394" t="s">
        <v>249</v>
      </c>
    </row>
    <row r="52" spans="1:4">
      <c r="A52" s="398" t="s">
        <v>148</v>
      </c>
      <c r="B52" s="398" t="s">
        <v>241</v>
      </c>
      <c r="C52" s="398" t="s">
        <v>77</v>
      </c>
      <c r="D52" s="394" t="s">
        <v>250</v>
      </c>
    </row>
    <row r="53" spans="1:4">
      <c r="A53" s="398" t="s">
        <v>148</v>
      </c>
      <c r="B53" s="398" t="s">
        <v>241</v>
      </c>
      <c r="C53" s="398" t="s">
        <v>251</v>
      </c>
      <c r="D53" s="394" t="s">
        <v>252</v>
      </c>
    </row>
    <row r="54" spans="1:4">
      <c r="A54" s="398" t="s">
        <v>148</v>
      </c>
      <c r="B54" s="398" t="s">
        <v>241</v>
      </c>
      <c r="C54" s="398" t="s">
        <v>253</v>
      </c>
      <c r="D54" s="394" t="s">
        <v>254</v>
      </c>
    </row>
    <row r="55" spans="1:4">
      <c r="A55" s="398" t="s">
        <v>148</v>
      </c>
      <c r="B55" s="398" t="s">
        <v>241</v>
      </c>
      <c r="C55" s="398" t="s">
        <v>255</v>
      </c>
      <c r="D55" s="394" t="s">
        <v>256</v>
      </c>
    </row>
    <row r="56" spans="1:4">
      <c r="A56" s="398" t="s">
        <v>148</v>
      </c>
      <c r="B56" s="398" t="s">
        <v>241</v>
      </c>
      <c r="C56" s="398" t="s">
        <v>257</v>
      </c>
      <c r="D56" s="394" t="s">
        <v>258</v>
      </c>
    </row>
    <row r="57" spans="1:4">
      <c r="A57" s="398" t="s">
        <v>148</v>
      </c>
      <c r="B57" s="398" t="s">
        <v>241</v>
      </c>
      <c r="C57" s="398" t="s">
        <v>259</v>
      </c>
      <c r="D57" s="394" t="s">
        <v>260</v>
      </c>
    </row>
    <row r="58" spans="1:4">
      <c r="A58" s="398" t="s">
        <v>148</v>
      </c>
      <c r="B58" s="398" t="s">
        <v>261</v>
      </c>
      <c r="C58" s="398" t="s">
        <v>262</v>
      </c>
      <c r="D58" s="394" t="s">
        <v>263</v>
      </c>
    </row>
    <row r="59" spans="1:4">
      <c r="A59" s="398" t="s">
        <v>148</v>
      </c>
      <c r="B59" s="398" t="s">
        <v>261</v>
      </c>
      <c r="C59" s="398" t="s">
        <v>264</v>
      </c>
      <c r="D59" s="394" t="s">
        <v>265</v>
      </c>
    </row>
    <row r="60" spans="1:4">
      <c r="A60" s="398" t="s">
        <v>148</v>
      </c>
      <c r="B60" s="398" t="s">
        <v>261</v>
      </c>
      <c r="C60" s="398" t="s">
        <v>266</v>
      </c>
      <c r="D60" s="394" t="s">
        <v>267</v>
      </c>
    </row>
    <row r="61" spans="1:4">
      <c r="A61" s="398" t="s">
        <v>148</v>
      </c>
      <c r="B61" s="398" t="s">
        <v>268</v>
      </c>
      <c r="C61" s="398" t="s">
        <v>269</v>
      </c>
      <c r="D61" s="394" t="s">
        <v>270</v>
      </c>
    </row>
    <row r="62" spans="1:4">
      <c r="A62" s="398" t="s">
        <v>148</v>
      </c>
      <c r="B62" s="398" t="s">
        <v>268</v>
      </c>
      <c r="C62" s="398" t="s">
        <v>271</v>
      </c>
      <c r="D62" s="394" t="s">
        <v>272</v>
      </c>
    </row>
    <row r="63" spans="1:4">
      <c r="A63" s="398" t="s">
        <v>148</v>
      </c>
      <c r="B63" s="398" t="s">
        <v>273</v>
      </c>
      <c r="C63" s="398" t="s">
        <v>274</v>
      </c>
      <c r="D63" s="394" t="s">
        <v>275</v>
      </c>
    </row>
    <row r="64" spans="1:4">
      <c r="A64" s="398" t="s">
        <v>148</v>
      </c>
      <c r="B64" s="398" t="s">
        <v>273</v>
      </c>
      <c r="C64" s="398" t="s">
        <v>276</v>
      </c>
      <c r="D64" s="394" t="s">
        <v>277</v>
      </c>
    </row>
    <row r="65" spans="1:4">
      <c r="A65" s="398" t="s">
        <v>148</v>
      </c>
      <c r="B65" s="398" t="s">
        <v>273</v>
      </c>
      <c r="C65" s="398" t="s">
        <v>278</v>
      </c>
      <c r="D65" s="394" t="s">
        <v>279</v>
      </c>
    </row>
    <row r="66" spans="1:4">
      <c r="A66" s="398" t="s">
        <v>148</v>
      </c>
      <c r="B66" s="398" t="s">
        <v>280</v>
      </c>
      <c r="C66" s="398" t="s">
        <v>108</v>
      </c>
      <c r="D66" s="394" t="s">
        <v>281</v>
      </c>
    </row>
    <row r="67" spans="1:4">
      <c r="A67" s="398" t="s">
        <v>148</v>
      </c>
      <c r="B67" s="398" t="s">
        <v>280</v>
      </c>
      <c r="C67" s="398" t="s">
        <v>282</v>
      </c>
      <c r="D67" s="394" t="s">
        <v>283</v>
      </c>
    </row>
    <row r="68" spans="1:4">
      <c r="A68" s="398" t="s">
        <v>148</v>
      </c>
      <c r="B68" s="398" t="s">
        <v>280</v>
      </c>
      <c r="C68" s="398" t="s">
        <v>284</v>
      </c>
      <c r="D68" s="394" t="s">
        <v>285</v>
      </c>
    </row>
    <row r="69" spans="1:4">
      <c r="A69" s="398" t="s">
        <v>148</v>
      </c>
      <c r="B69" s="398" t="s">
        <v>280</v>
      </c>
      <c r="C69" s="398" t="s">
        <v>286</v>
      </c>
      <c r="D69" s="394" t="s">
        <v>287</v>
      </c>
    </row>
    <row r="70" spans="1:4">
      <c r="A70" s="398" t="s">
        <v>148</v>
      </c>
      <c r="B70" s="398" t="s">
        <v>288</v>
      </c>
      <c r="C70" s="398" t="s">
        <v>289</v>
      </c>
      <c r="D70" s="394" t="s">
        <v>290</v>
      </c>
    </row>
    <row r="71" spans="1:4">
      <c r="A71" s="398" t="s">
        <v>148</v>
      </c>
      <c r="B71" s="398" t="s">
        <v>291</v>
      </c>
      <c r="C71" s="398" t="s">
        <v>74</v>
      </c>
      <c r="D71" s="394" t="s">
        <v>292</v>
      </c>
    </row>
    <row r="72" spans="1:4">
      <c r="A72" s="398" t="s">
        <v>148</v>
      </c>
      <c r="B72" s="398" t="s">
        <v>293</v>
      </c>
      <c r="C72" s="398" t="s">
        <v>294</v>
      </c>
      <c r="D72" s="394" t="s">
        <v>295</v>
      </c>
    </row>
    <row r="73" spans="1:4">
      <c r="A73" s="398" t="s">
        <v>148</v>
      </c>
      <c r="B73" s="398" t="s">
        <v>293</v>
      </c>
      <c r="C73" s="398" t="s">
        <v>296</v>
      </c>
      <c r="D73" s="394" t="s">
        <v>297</v>
      </c>
    </row>
    <row r="74" spans="1:4">
      <c r="A74" s="398" t="s">
        <v>148</v>
      </c>
      <c r="B74" s="398" t="s">
        <v>293</v>
      </c>
      <c r="C74" s="398" t="s">
        <v>298</v>
      </c>
      <c r="D74" s="394" t="s">
        <v>299</v>
      </c>
    </row>
    <row r="75" spans="1:4">
      <c r="A75" s="398" t="s">
        <v>300</v>
      </c>
      <c r="B75" s="398" t="s">
        <v>301</v>
      </c>
      <c r="C75" s="398" t="s">
        <v>302</v>
      </c>
      <c r="D75" s="394" t="s">
        <v>303</v>
      </c>
    </row>
    <row r="76" spans="1:4">
      <c r="A76" s="398" t="s">
        <v>304</v>
      </c>
      <c r="B76" s="398" t="s">
        <v>305</v>
      </c>
      <c r="C76" s="398" t="s">
        <v>306</v>
      </c>
      <c r="D76" s="394" t="s">
        <v>307</v>
      </c>
    </row>
    <row r="77" spans="1:4">
      <c r="A77" s="398" t="s">
        <v>304</v>
      </c>
      <c r="B77" s="398" t="s">
        <v>305</v>
      </c>
      <c r="C77" s="398" t="s">
        <v>308</v>
      </c>
      <c r="D77" s="394" t="s">
        <v>309</v>
      </c>
    </row>
    <row r="78" spans="1:4">
      <c r="A78" s="398" t="s">
        <v>304</v>
      </c>
      <c r="B78" s="398" t="s">
        <v>305</v>
      </c>
      <c r="C78" s="398" t="s">
        <v>310</v>
      </c>
      <c r="D78" s="394" t="s">
        <v>311</v>
      </c>
    </row>
    <row r="79" spans="1:4">
      <c r="A79" s="398" t="s">
        <v>304</v>
      </c>
      <c r="B79" s="398" t="s">
        <v>305</v>
      </c>
      <c r="C79" s="398" t="s">
        <v>312</v>
      </c>
      <c r="D79" s="394" t="s">
        <v>313</v>
      </c>
    </row>
    <row r="80" spans="1:4">
      <c r="A80" s="398" t="s">
        <v>304</v>
      </c>
      <c r="B80" s="398" t="s">
        <v>305</v>
      </c>
      <c r="C80" s="398" t="s">
        <v>314</v>
      </c>
      <c r="D80" s="394" t="s">
        <v>315</v>
      </c>
    </row>
    <row r="81" spans="1:4">
      <c r="A81" s="398" t="s">
        <v>316</v>
      </c>
      <c r="B81" s="398" t="s">
        <v>317</v>
      </c>
      <c r="C81" s="398" t="s">
        <v>318</v>
      </c>
      <c r="D81" s="394" t="s">
        <v>319</v>
      </c>
    </row>
    <row r="82" spans="1:4">
      <c r="A82" s="398" t="s">
        <v>316</v>
      </c>
      <c r="B82" s="398" t="s">
        <v>317</v>
      </c>
      <c r="C82" s="398" t="s">
        <v>320</v>
      </c>
      <c r="D82" s="394" t="s">
        <v>321</v>
      </c>
    </row>
    <row r="83" spans="1:4">
      <c r="A83" s="398" t="s">
        <v>316</v>
      </c>
      <c r="B83" s="398" t="s">
        <v>317</v>
      </c>
      <c r="C83" s="398" t="s">
        <v>322</v>
      </c>
      <c r="D83" s="394" t="s">
        <v>323</v>
      </c>
    </row>
    <row r="84" spans="1:4">
      <c r="A84" s="398" t="s">
        <v>316</v>
      </c>
      <c r="B84" s="398" t="s">
        <v>324</v>
      </c>
      <c r="C84" s="398" t="s">
        <v>325</v>
      </c>
      <c r="D84" s="394" t="s">
        <v>326</v>
      </c>
    </row>
    <row r="85" spans="1:4">
      <c r="A85" s="398" t="s">
        <v>316</v>
      </c>
      <c r="B85" s="398" t="s">
        <v>324</v>
      </c>
      <c r="C85" s="398" t="s">
        <v>327</v>
      </c>
      <c r="D85" s="394" t="s">
        <v>328</v>
      </c>
    </row>
    <row r="86" spans="1:4">
      <c r="A86" s="398" t="s">
        <v>316</v>
      </c>
      <c r="B86" s="398" t="s">
        <v>324</v>
      </c>
      <c r="C86" s="398" t="s">
        <v>329</v>
      </c>
      <c r="D86" s="394" t="s">
        <v>330</v>
      </c>
    </row>
    <row r="87" spans="1:4">
      <c r="A87" s="398" t="s">
        <v>331</v>
      </c>
      <c r="B87" s="398" t="s">
        <v>332</v>
      </c>
      <c r="C87" s="398" t="s">
        <v>333</v>
      </c>
      <c r="D87" s="394" t="s">
        <v>334</v>
      </c>
    </row>
    <row r="88" spans="1:4">
      <c r="A88" s="398" t="s">
        <v>331</v>
      </c>
      <c r="B88" s="398" t="s">
        <v>335</v>
      </c>
      <c r="C88" s="398" t="s">
        <v>336</v>
      </c>
      <c r="D88" s="394" t="s">
        <v>337</v>
      </c>
    </row>
    <row r="89" spans="1:4">
      <c r="A89" s="398" t="s">
        <v>338</v>
      </c>
      <c r="B89" s="398" t="s">
        <v>339</v>
      </c>
      <c r="C89" s="398" t="s">
        <v>340</v>
      </c>
      <c r="D89" s="394" t="s">
        <v>341</v>
      </c>
    </row>
    <row r="90" spans="1:4">
      <c r="A90" s="398" t="s">
        <v>338</v>
      </c>
      <c r="B90" s="398" t="s">
        <v>339</v>
      </c>
      <c r="C90" s="398" t="s">
        <v>342</v>
      </c>
      <c r="D90" s="394" t="s">
        <v>343</v>
      </c>
    </row>
    <row r="91" spans="1:4">
      <c r="A91" s="398" t="s">
        <v>338</v>
      </c>
      <c r="B91" s="398" t="s">
        <v>339</v>
      </c>
      <c r="C91" s="398" t="s">
        <v>344</v>
      </c>
      <c r="D91" s="394" t="s">
        <v>345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344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3440" l="56" r="56" t="56" vertical="0"/>
        <pm:footer xmlns:pm="smNativeData" b="56" borderId="0" fillId="0" id="1542773440" l="56" r="56" t="56" vertical="2"/>
        <pm:paperBin xmlns:pm="smNativeData" Id="0" id="1542773440" type="0" value="0"/>
        <pm:paperBin xmlns:pm="smNativeData" Id="1" id="1542773440" type="0" value="0"/>
      </ext>
    </extLst>
  </headerFooter>
  <extLst>
    <ext uri="smNativeData">
      <pm:sheetPrefs xmlns:pm="smNativeData" day="154277344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2018-11-21T04:10:40Z</dcterms:modified>
  <cp:revision>0</cp:revision>
</cp:coreProperties>
</file>