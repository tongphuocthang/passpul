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6" sheetId="1"/>
    <sheet name="TC" r:id="rId7" sheetId="2"/>
    <sheet name="Extension" r:id="rId8" sheetId="3"/>
    <sheet name="Test Report" r:id="rId9" sheetId="4"/>
    <sheet name="Keyword" r:id="rId10" sheetId="5"/>
  </sheets>
  <externalReferences>
    <externalReference r:id="rId5"/>
  </externalReferences>
  <definedNames>
    <definedName hidden="1" localSheetId="1" name="_xlnm._FilterDatabase">TC!$A$1:$Y$14</definedName>
  </definedNames>
  <calcPr/>
  <extLst>
    <ext uri="smNativeData">
      <pm:revision xmlns:pm="smNativeData" day="1542562748" rev="123" revOS="4" val="938"/>
      <pm:docPrefs xmlns:pm="smNativeData" autoChart="1" compatTextArt="1" finalRounding="1" fixedDigits="0" id="1542562748" printArea="currentSheet" recalcOnCopy="1" recalcOnPrint="1" showFrameBounds="1" showNotice="1" tab="567" useDefinedPrintRange="1"/>
      <pm:compatibility xmlns:pm="smNativeData" id="1542562748" overlapCells="1"/>
      <pm:defCurrency xmlns:pm="smNativeData" id="1542562748"/>
    </ext>
  </extLst>
</workbook>
</file>

<file path=xl/sharedStrings.xml><?xml version="1.0" encoding="utf-8"?>
<sst xmlns="http://schemas.openxmlformats.org/spreadsheetml/2006/main" count="768" uniqueCount="341">
  <si>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</si>
  <si>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</si>
  <si>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</si>
  <si>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</si>
  <si>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</si>
  <si>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</si>
  <si>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</si>
  <si>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</si>
  <si>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</si>
  <si>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</si>
  <si>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</si>
  <si>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</si>
  <si>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</si>
  <si>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</si>
  <si>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</si>
  <si>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</si>
  <si>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</si>
  <si>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</si>
  <si>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</si>
  <si>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</si>
  <si>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</si>
  <si>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</si>
  <si>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</si>
  <si>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</si>
  <si>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</si>
  <si>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</si>
  <si>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</si>
  <si>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</si>
  <si>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</si>
  <si>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</si>
  <si>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</si>
  <si>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</si>
  <si>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</si>
  <si>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</si>
  <si>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</si>
  <si>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</si>
  <si>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</si>
  <si>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</si>
  <si>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</si>
  <si>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</si>
  <si>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</si>
  <si>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</si>
  <si>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</si>
  <si>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</si>
  <si>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</si>
  <si>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</si>
  <si>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</si>
  <si>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</si>
  <si>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</si>
  <si>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 Table</t>
  </si>
  <si>
    <t>TC_01</t>
  </si>
  <si>
    <t>Go to [Simple Form Demo] Screen successfully</t>
  </si>
  <si>
    <t>Medium</t>
  </si>
  <si>
    <t>Y</t>
  </si>
  <si>
    <t/>
  </si>
  <si>
    <t>Go to [Simple Form Demo] Screen</t>
  </si>
  <si>
    <t>GO TO URL</t>
  </si>
  <si>
    <t>SampleProject_TableDataDownload_Screen</t>
  </si>
  <si>
    <t>TC_02</t>
  </si>
  <si>
    <t>Verify table header</t>
  </si>
  <si>
    <t>VERIFY TEXT SPECIFIED LIST</t>
  </si>
  <si>
    <t>SampleProject_DataTable_tHeader</t>
  </si>
  <si>
    <t>TC_03</t>
  </si>
  <si>
    <t>Verify all values of data table with the result of executing SQL Statement</t>
  </si>
  <si>
    <t>VERIFY DATA TABLE DB</t>
  </si>
  <si>
    <t>SampleProject_DataTable_tBody</t>
  </si>
  <si>
    <t>SampleProject_GetTableData</t>
  </si>
  <si>
    <t>SampleProject_DataTable_Next_Button</t>
  </si>
  <si>
    <t>SampleProject_DataTable_Stop_Condition</t>
  </si>
  <si>
    <t>TC_04</t>
  </si>
  <si>
    <t>Verify all values of data table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</si>
  <si>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</si>
  <si>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</si>
  <si>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</si>
  <si>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</si>
  <si>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</si>
  <si>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</si>
  <si>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</si>
  <si>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</si>
  <si>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DATA TABLE WS</t>
  </si>
  <si>
    <t>Sorting Data</t>
  </si>
  <si>
    <t>TC_05</t>
  </si>
  <si>
    <t>Verify sorting text data</t>
  </si>
  <si>
    <t>Click on [Position] header</t>
  </si>
  <si>
    <t>CLICK</t>
  </si>
  <si>
    <t>SampleProject_DataTable_Salary_Header</t>
  </si>
  <si>
    <t>Verify sorting data</t>
  </si>
  <si>
    <t>VERIFY SORTING DATA TABLE</t>
  </si>
  <si>
    <t>NUMBER</t>
  </si>
  <si>
    <t>ASC</t>
  </si>
  <si>
    <t>END</t>
  </si>
  <si>
    <t>Table header</t>
  </si>
  <si>
    <t>Name</t>
  </si>
  <si>
    <t>Position</t>
  </si>
  <si>
    <t>Office</t>
  </si>
  <si>
    <t>Age</t>
  </si>
  <si>
    <t>Start date</t>
  </si>
  <si>
    <t>Salary</t>
  </si>
  <si>
    <t>$</t>
  </si>
  <si>
    <t>,</t>
  </si>
  <si>
    <t>xpath (xml) / jsonPath (json) is defined in [locator.properties]</t>
  </si>
  <si>
    <t>Type of result (STRING/NUMBER/DATE)</t>
  </si>
  <si>
    <t xml:space="preserve">Format of result </t>
  </si>
  <si>
    <t>Default value</t>
  </si>
  <si>
    <t>Order the result (ASC/DESC).</t>
  </si>
  <si>
    <t>Aggregate the result 
(SUM/AVG/MIN/MAX/COUNT)</t>
  </si>
  <si>
    <t>The name of table in 'Extension' Sheet contains 
specified value list to be removed in the result (Put remove list table before this table)</t>
  </si>
  <si>
    <t>Prefix value</t>
  </si>
  <si>
    <t>Suffix value</t>
  </si>
  <si>
    <t>SampleProject_WS_getExampleREST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</si>
  <si>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</si>
  <si>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</si>
  <si>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</si>
  <si>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</si>
  <si>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</si>
  <si>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</si>
  <si>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</si>
  <si>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</si>
  <si>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</si>
  <si>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</si>
  <si>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</si>
  <si>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</si>
  <si>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</si>
  <si>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</si>
  <si>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</si>
  <si>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</si>
  <si>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</si>
  <si>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</si>
  <si>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</si>
  <si>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</si>
  <si>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</si>
  <si>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</si>
  <si>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</si>
  <si>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</si>
  <si>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</si>
  <si>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</si>
  <si>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</si>
  <si>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</si>
  <si>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</si>
  <si>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</si>
  <si>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</si>
  <si>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</si>
  <si>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</si>
  <si>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</si>
  <si>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</si>
  <si>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</si>
  <si>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</si>
  <si>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</si>
  <si>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</si>
  <si>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</si>
  <si>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</si>
  <si>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</si>
  <si>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</si>
  <si>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</si>
  <si>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</si>
  <si>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</si>
  <si>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</si>
  <si>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</si>
  <si>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</si>
  <si>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</si>
  <si>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</si>
  <si>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</si>
  <si>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</si>
  <si>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</si>
  <si>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</si>
  <si>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</si>
  <si>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</si>
  <si>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</si>
  <si>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</si>
  <si>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</si>
  <si>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</si>
  <si>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</si>
  <si>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</si>
  <si>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</si>
  <si>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</si>
  <si>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</si>
  <si>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</si>
  <si>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</si>
  <si>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</si>
  <si>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</si>
  <si>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</si>
  <si>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</si>
  <si>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</si>
  <si>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</si>
  <si>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</si>
  <si>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</si>
  <si>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</si>
  <si>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</si>
  <si>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</si>
  <si>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</si>
  <si>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</si>
  <si>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</si>
  <si>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</si>
  <si>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</si>
  <si>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</si>
  <si>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</si>
  <si>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</si>
  <si>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</si>
  <si>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</si>
  <si>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</si>
  <si>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</si>
  <si>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</si>
  <si>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</si>
  <si>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</si>
  <si>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</si>
  <si>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</si>
  <si>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</si>
  <si>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</si>
  <si>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</si>
  <si>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</si>
  <si>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</si>
  <si>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</si>
  <si>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</si>
  <si>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</si>
  <si>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</si>
  <si>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</si>
  <si>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</si>
  <si>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</si>
  <si>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</si>
  <si>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</si>
  <si>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</si>
  <si>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</si>
  <si>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</si>
  <si>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</si>
  <si>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</si>
  <si>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</si>
  <si>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</si>
  <si>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</si>
  <si>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</si>
  <si>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</si>
  <si>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</si>
  <si>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</si>
  <si>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</si>
  <si>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</si>
  <si>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</si>
  <si>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</si>
  <si>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</si>
  <si>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</si>
  <si>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</si>
  <si>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</si>
  <si>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</si>
  <si>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</si>
  <si>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</si>
  <si>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</si>
  <si>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</si>
  <si>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</si>
  <si>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</si>
  <si>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</si>
  <si>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</si>
  <si>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</si>
  <si>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</si>
  <si>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</si>
  <si>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</si>
  <si>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</si>
  <si>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</si>
  <si>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</si>
  <si>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</si>
  <si>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</si>
  <si>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</si>
  <si>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</si>
  <si>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</si>
  <si>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</si>
  <si>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</si>
  <si>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</si>
  <si>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</si>
  <si>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</si>
  <si>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</si>
  <si>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</si>
  <si>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</si>
  <si>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</si>
  <si>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</si>
  <si>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</si>
  <si>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</si>
  <si>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</si>
  <si>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</si>
  <si>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</si>
  <si>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</si>
  <si>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</si>
  <si>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</si>
  <si>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</si>
  <si>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</si>
  <si>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</si>
  <si>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</si>
  <si>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</si>
  <si>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</si>
  <si>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</si>
  <si>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</si>
  <si>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</si>
  <si>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</si>
  <si>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</si>
  <si>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</si>
  <si>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</si>
  <si>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</si>
  <si>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</si>
  <si>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</si>
  <si>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</si>
  <si>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</si>
  <si>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</si>
  <si>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</si>
  <si>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</si>
  <si>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</si>
  <si>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</si>
  <si>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</si>
  <si>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</si>
  <si>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</si>
  <si>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</si>
  <si>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</si>
  <si>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</si>
  <si>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</si>
  <si>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</si>
  <si>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</si>
  <si>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</si>
  <si>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</si>
  <si>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</si>
  <si>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</si>
  <si>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</si>
  <si>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</si>
  <si>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</si>
  <si>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</si>
  <si>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</si>
  <si>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</si>
  <si>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</si>
  <si>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</si>
  <si>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</si>
  <si>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</si>
  <si>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</si>
  <si>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</si>
  <si>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</si>
  <si>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</si>
  <si>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</si>
  <si>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6</t>
  </si>
  <si>
    <t>PASS</t>
  </si>
  <si>
    <t>FAIL</t>
  </si>
  <si>
    <t>ACTUAL: 
Airi Satou
Accountant
Tokyo
33
2008/11/28
$162,700
Angelica Ramos
Chief Executive Officer (CEO)
London
47
2009/10/09
$1,200,000
Ashton Cox
Junior Technical Author
San Francisco
66
2009/01/12
$86,000
Bradley Greer
Software Engineer
London
41
2012/10/13
$132,000
Brenden Wagner
Software Engineer
San Francisco
28
2011/06/07
$206,850
Brielle Williamson
Integration Specialist
New York
61
2012/12/02
$372,000
Caesar Vance
Pre-Sales Support
New York
21
2011/12/12
$106,450
Cedric Kelly
Senior Javascript Developer
Edinburgh
22
2012/03/29
$433,060
Charde Marshall
Regional Director
San Francisco
36
2008/10/16
$470,600
Colleen Hurst
Javascript Developer
San Francisco
39
2009/09/15
$205,500
Dai Rios
Personnel Lead
Edinburgh
35
2012/09/26
$217,500
Doris Wilder
Sales Assistant
Sidney
23
2010/09/20
$85,600
Fiona Green
Chief Operating Officer (COO)
San Francisco
48
2010/03/11
$850,000
Garrett Winters
Accountant
Tokyo
63
2011/07/25
$170,750
Gavin Joyce
Developer
Edinburgh
42
2010/12/22
$92,575
Gloria Little
Systems Administrator
New York
59
2009/04/10
$237,500
Haley Kennedy
Senior Marketing Designer
London
43
2012/12/18
$313,500
Herrod Chandler
Sales Assistant
San Francisco
59
2012/08/06
$137,500
Jena Gaines
Office Manager
London
30
2008/12/19
$90,560
Jenette Caldwell
Development Lead
New York
30
2011/09/03
$345,000
Jennifer Chang
Regional Director
Singapore
28
2010/11/14
$357,650
Michael Silva
Marketing Designer
London
66
2012/11/27
$198,500
Michelle House
Integration Specialist
Sidney
37
2011/06/02
$95,400
Paul Byrd
Chief Financial Officer (CFO)
New York
64
2010/06/09
$725,000
Quinn Flynn
Support Lead
Edinburgh
22
2013/03/03
$342,000
Rhona Davidson
Integration Specialist
Tokyo
55
2010/10/14
$327,900
Shou Itou
Regional Marketing
Tokyo
20
2011/08/14
$163,000
Sonya Frost
Software Engineer
Edinburgh
23
2008/12/13
$103,600
Tatyana Fitzpatrick
Regional Director
London
19
2010/03/17
$385,750
Tiger Nixon
System Architect
Edinburgh
61
2011/04/25
$320,800
Yuri Berry
Chief Marketing Officer (CMO)
New York
40
2009/06/25
$675,000
EXPECTED: 
Airi Satou
Accountant
Tokyo
33
2008/11/28
$162,700</t>
  </si>
  <si>
    <t>https://www.dropbox.com/s/jgz7fyy847x9d5b/20181119_083859.png?dl=0</t>
  </si>
  <si>
    <t>ACTUAL: 
Yuri Berry
Chief Marketing Officer (CMO)
New York
40
2009/06/25
$675,000
EXPECTED: 
2001</t>
  </si>
  <si>
    <t>https://www.dropbox.com/s/3bfa6x9hfiam2i3/20181119_083909.png?dl=0</t>
  </si>
  <si>
    <t>Grand Total</t>
  </si>
  <si>
    <t>11/19/2018 08:38:27</t>
  </si>
  <si>
    <t>11/19/2018 08:39:22</t>
  </si>
  <si>
    <t>0 min, 54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</si>
</sst>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48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48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48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48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48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48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48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48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48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48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7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9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applyFill="1" applyFont="1" borderId="3" fillId="4" fontId="3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365">
      <alignment horizontal="left" vertical="center" wrapText="1"/>
    </xf>
    <xf applyAlignment="1" applyBorder="1" borderId="8" fillId="0" fontId="0" numFmtId="0" xfId="366">
      <alignment horizontal="left" vertical="center" wrapText="1"/>
    </xf>
    <xf applyAlignment="1" applyBorder="1" borderId="8" fillId="0" fontId="0" numFmtId="0" xfId="366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363">
      <alignment vertical="center"/>
    </xf>
    <xf applyAlignment="1" applyBorder="1" applyFill="1" applyFont="1" borderId="9" fillId="10" fontId="2" numFmtId="0" xfId="363">
      <alignment vertical="center" wrapText="1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7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  <cellStyle name="Normal 21" xfId="365"/>
    <cellStyle name="Normal 22" xfId="366"/>
  </cellStyles>
  <tableStyles count="0"/>
  <extLst>
    <ext uri="smNativeData">
      <pm:charStyles xmlns:pm="smNativeData" count="1" id="1542562748">
        <pm:charStyle Id="1" fontId="0" name="Normal"/>
      </pm:charStyles>
      <pm:colors xmlns:pm="smNativeData" count="6" id="1542562748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10" Target="worksheets/sheet5.xml" Type="http://schemas.openxmlformats.org/officeDocument/2006/relationships/worksheet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externalLinks/externalLink1.xml" Type="http://schemas.openxmlformats.org/officeDocument/2006/relationships/externalLink"/>
<Relationship Id="rId6" Target="worksheets/sheet1.xml" Type="http://schemas.openxmlformats.org/officeDocument/2006/relationships/worksheet"/>
<Relationship Id="rId7" Target="worksheets/sheet2.xml" Type="http://schemas.openxmlformats.org/officeDocument/2006/relationships/worksheet"/>
<Relationship Id="rId8" Target="worksheets/sheet3.xml" Type="http://schemas.openxmlformats.org/officeDocument/2006/relationships/worksheet"/>
<Relationship Id="rId9" Target="worksheets/sheet4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48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../../../../../PassPul/src/test/java/com/project/resource/testcase/Demo_Data%20Table_VERIFY%20SORTING%20DATA%20TABLE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eyword"/>
      <sheetName val="D"/>
      <sheetName val="\7P7\Work\Framework\SampleProject\src\test\java\com\project\res"/>
    </sheetNames>
    <sheetDataSet>
      <sheetData sheetId="0">
        <row r="2">
          <cell r="C2" t="str">
            <v>ACCEPT ALERT</v>
          </cell>
        </row>
        <row r="3">
          <cell r="C3" t="str">
            <v>DISMISS ALERT</v>
          </cell>
        </row>
        <row r="4">
          <cell r="C4" t="str">
            <v>VERIFY ALERT MESSAGE</v>
          </cell>
        </row>
        <row r="5">
          <cell r="C5" t="str">
            <v>SET ALERT TEXT</v>
          </cell>
        </row>
        <row r="6">
          <cell r="C6" t="str">
            <v>GO TO URL</v>
          </cell>
        </row>
        <row r="7">
          <cell r="C7" t="str">
            <v>NAVIGATE</v>
          </cell>
        </row>
        <row r="8">
          <cell r="C8" t="str">
            <v>REFRESH</v>
          </cell>
        </row>
        <row r="9">
          <cell r="C9" t="str">
            <v>BACK</v>
          </cell>
        </row>
        <row r="10">
          <cell r="C10" t="str">
            <v>FORWARD</v>
          </cell>
        </row>
        <row r="11">
          <cell r="C11" t="str">
            <v>SET TEXT</v>
          </cell>
        </row>
        <row r="12">
          <cell r="C12" t="str">
            <v>REMOVE TEXT</v>
          </cell>
        </row>
        <row r="13">
          <cell r="C13" t="str">
            <v>VERIFY TEXT</v>
          </cell>
        </row>
        <row r="14">
          <cell r="C14" t="str">
            <v>VERIFY TEXT SPECIFIED LIST</v>
          </cell>
        </row>
        <row r="15">
          <cell r="C15" t="str">
            <v>VERIFY TEXT DB</v>
          </cell>
        </row>
        <row r="16">
          <cell r="C16" t="str">
            <v>VERIFY TEXT WS</v>
          </cell>
        </row>
        <row r="17">
          <cell r="C17" t="str">
            <v>CHECK</v>
          </cell>
        </row>
        <row r="18">
          <cell r="C18" t="str">
            <v>UNCHECK</v>
          </cell>
        </row>
        <row r="19">
          <cell r="C19" t="str">
            <v>VERIFY ELEMENT CHECKED</v>
          </cell>
        </row>
        <row r="20">
          <cell r="C20" t="str">
            <v>VERIFY ELEMENT NOT CHECKED</v>
          </cell>
        </row>
        <row r="21">
          <cell r="C21" t="str">
            <v>VERIFY CHECKBOX</v>
          </cell>
        </row>
        <row r="22">
          <cell r="C22" t="str">
            <v>VERIFY CHECKBOX SPECIFIED LIST</v>
          </cell>
        </row>
        <row r="23">
          <cell r="C23" t="str">
            <v>VERIFY CHECKBOX DB</v>
          </cell>
        </row>
        <row r="24">
          <cell r="C24" t="str">
            <v>VERIFY CHECKBOX WS</v>
          </cell>
        </row>
        <row r="25">
          <cell r="C25" t="str">
            <v>VERIFY RADIO BUTTON</v>
          </cell>
        </row>
        <row r="26">
          <cell r="C26" t="str">
            <v>VERIFY RADIO BUTTON SPECIFIED LIST</v>
          </cell>
        </row>
        <row r="27">
          <cell r="C27" t="str">
            <v>VERIFY RADIO BUTTON DB</v>
          </cell>
        </row>
        <row r="28">
          <cell r="C28" t="str">
            <v>VERIFY RADIO BUTTON WS</v>
          </cell>
        </row>
        <row r="29">
          <cell r="C29" t="str">
            <v>VERIFY TEXTBOX VALUE</v>
          </cell>
        </row>
        <row r="30">
          <cell r="C30" t="str">
            <v>VERIFY TEXTBOX VALUE SPECIFIED LIST</v>
          </cell>
        </row>
        <row r="31">
          <cell r="C31" t="str">
            <v>VERIFY TEXTBOX VALUE DB</v>
          </cell>
        </row>
        <row r="32">
          <cell r="C32" t="str">
            <v>VERIFY TEXTBOX VALUE WS</v>
          </cell>
        </row>
        <row r="33">
          <cell r="C33" t="str">
            <v>SELECT DROPDOWN BY VALUE</v>
          </cell>
        </row>
        <row r="34">
          <cell r="C34" t="str">
            <v>SELECT DROPDOWN BY INDEX</v>
          </cell>
        </row>
        <row r="35">
          <cell r="C35" t="str">
            <v>SELECT FIRST OPTION DROPDOWN</v>
          </cell>
        </row>
        <row r="36">
          <cell r="C36" t="str">
            <v>SELECT LAST OPTION DROPDOWN</v>
          </cell>
        </row>
        <row r="37">
          <cell r="C37" t="str">
            <v>MULTI SELECT DROPDOWN BY VALUE</v>
          </cell>
        </row>
        <row r="38">
          <cell r="C38" t="str">
            <v>MULTI SELECT DROPDOWN BY INDEX</v>
          </cell>
        </row>
        <row r="39">
          <cell r="C39" t="str">
            <v>VERIFY SELECTED VALUE DROPDOWN</v>
          </cell>
        </row>
        <row r="40">
          <cell r="C40" t="str">
            <v>VERIFY SELECTED VALUE DROPDOWN SPECIFIED LIST</v>
          </cell>
        </row>
        <row r="41">
          <cell r="C41" t="str">
            <v>VERIFY SELECTED VALUE DROPDOWN DB</v>
          </cell>
        </row>
        <row r="42">
          <cell r="C42" t="str">
            <v>VERIFY SELECTED VALUE DROPDOWN WS</v>
          </cell>
        </row>
        <row r="43">
          <cell r="C43" t="str">
            <v>VERIFY DROPDOWN</v>
          </cell>
        </row>
        <row r="44">
          <cell r="C44" t="str">
            <v>VERIFY DROPDOWN DB</v>
          </cell>
        </row>
        <row r="45">
          <cell r="C45" t="str">
            <v>VERIFY DROPDOWN WS</v>
          </cell>
        </row>
        <row r="46">
          <cell r="C46" t="str">
            <v>SET DATE</v>
          </cell>
        </row>
        <row r="47">
          <cell r="C47" t="str">
            <v>CLICK</v>
          </cell>
          <cell r="D47" t="str">
            <v>Click on the given element
- Locator(*): Locator of the element to be clicked</v>
          </cell>
        </row>
        <row r="48">
          <cell r="C48" t="str">
            <v>DOUBLE CLICK</v>
          </cell>
        </row>
        <row r="49">
          <cell r="C49" t="str">
            <v>WAIT FOR ELEMENT PRESENT</v>
          </cell>
        </row>
        <row r="50">
          <cell r="C50" t="str">
            <v>WAIT FOR ELEMENT INVISIBLE</v>
          </cell>
        </row>
        <row r="51">
          <cell r="C51" t="str">
            <v>WAIT FOR AJAX</v>
          </cell>
        </row>
        <row r="52">
          <cell r="C52" t="str">
            <v>PAUSE</v>
          </cell>
        </row>
        <row r="53">
          <cell r="C53" t="str">
            <v>VERIFY CSS VALUE</v>
          </cell>
        </row>
        <row r="54">
          <cell r="C54" t="str">
            <v>XPATH COUNT</v>
          </cell>
        </row>
        <row r="55">
          <cell r="C55" t="str">
            <v>HOVER</v>
          </cell>
        </row>
        <row r="56">
          <cell r="C56" t="str">
            <v>SCROLL TO ELEMENT</v>
          </cell>
        </row>
        <row r="57">
          <cell r="C57" t="str">
            <v>SCROLL TO THE BOTTOM</v>
          </cell>
        </row>
        <row r="58">
          <cell r="C58" t="str">
            <v>NEW TAB</v>
          </cell>
        </row>
        <row r="59">
          <cell r="C59" t="str">
            <v>CLOSE TAB</v>
          </cell>
        </row>
        <row r="60">
          <cell r="C60" t="str">
            <v>SWITCH TAB</v>
          </cell>
        </row>
        <row r="61">
          <cell r="C61" t="str">
            <v>SWITCH TO FRAME</v>
          </cell>
        </row>
        <row r="62">
          <cell r="C62" t="str">
            <v>SWITCH TO DEFAULT CONTENT</v>
          </cell>
        </row>
        <row r="63">
          <cell r="C63" t="str">
            <v>NEW WINDOW</v>
          </cell>
        </row>
        <row r="64">
          <cell r="C64" t="str">
            <v>CLOSE WINDOW</v>
          </cell>
        </row>
        <row r="65">
          <cell r="C65" t="str">
            <v>SWITCH WINDOW</v>
          </cell>
        </row>
        <row r="66">
          <cell r="C66" t="str">
            <v>TAB</v>
          </cell>
        </row>
        <row r="67">
          <cell r="C67" t="str">
            <v>SHIFT TAB</v>
          </cell>
        </row>
        <row r="68">
          <cell r="C68" t="str">
            <v>COPY PASTE</v>
          </cell>
        </row>
        <row r="69">
          <cell r="C69" t="str">
            <v>DRAG DROP</v>
          </cell>
        </row>
        <row r="70">
          <cell r="C70" t="str">
            <v>VERIFY DOWNLOADED FILE</v>
          </cell>
        </row>
        <row r="71">
          <cell r="C71" t="str">
            <v>CHOOSE FILE</v>
          </cell>
        </row>
        <row r="72">
          <cell r="C72" t="str">
            <v>VERIFY SORTING DATA TABLE</v>
          </cell>
          <cell r="D72" t="str">
    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    </cell>
        </row>
        <row r="73">
          <cell r="C73" t="str">
            <v>VERIFY DATA TABLE DB</v>
          </cell>
        </row>
        <row r="74">
          <cell r="C74" t="str">
            <v>VERIFY DATA TABLE WS</v>
          </cell>
        </row>
        <row r="75">
          <cell r="C75" t="str">
            <v>RUN SOAPUI</v>
          </cell>
        </row>
        <row r="76">
          <cell r="C76" t="str">
            <v>VERIFY SPECIFIED VALUE LIST DB</v>
          </cell>
        </row>
        <row r="77">
          <cell r="C77" t="str">
            <v>SQL UPDATE</v>
          </cell>
        </row>
        <row r="78">
          <cell r="C78" t="str">
            <v>SQL BATCH UPDATE</v>
          </cell>
        </row>
        <row r="79">
          <cell r="C79" t="str">
            <v>SQL COMPARE</v>
          </cell>
        </row>
        <row r="80">
          <cell r="C80" t="str">
            <v>CHANGE DATABASE</v>
          </cell>
        </row>
        <row r="81">
          <cell r="C81" t="str">
            <v>VERIFY EXCEL DATA SPECIFIED LIST</v>
          </cell>
        </row>
        <row r="82">
          <cell r="C82" t="str">
            <v>VERIFY EXCEL DATA DB</v>
          </cell>
        </row>
        <row r="83">
          <cell r="C83" t="str">
            <v>VERIFY EXCEL DATA UI</v>
          </cell>
        </row>
        <row r="84">
          <cell r="C84" t="str">
            <v>VERIFY CSV DATA SPECIFIED LIST</v>
          </cell>
        </row>
        <row r="85">
          <cell r="C85" t="str">
            <v>VERIFY CSV DATA DB</v>
          </cell>
        </row>
        <row r="86">
          <cell r="C86" t="str">
            <v>VERIFY CSV DATA UI</v>
          </cell>
        </row>
        <row r="87">
          <cell r="C87" t="str">
            <v>SET VARIABLE</v>
          </cell>
        </row>
        <row r="88">
          <cell r="C88" t="str">
            <v>EXECUTE AUTOIT</v>
          </cell>
        </row>
        <row r="89">
          <cell r="C89" t="str">
            <v>FTP DOWNLOAD</v>
          </cell>
        </row>
        <row r="90">
          <cell r="C90" t="str">
            <v>FTP UPLOAD</v>
          </cell>
        </row>
        <row r="91">
          <cell r="C91" t="str">
            <v>FTP DELETE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2" t="s">
        <v>1</v>
      </c>
      <c r="C7" s="397"/>
      <c r="H7" s="376"/>
      <c r="I7" s="376"/>
      <c r="J7" s="376"/>
      <c r="K7" s="376"/>
    </row>
    <row r="8" spans="2:11">
      <c r="B8" s="382" t="s">
        <v>2</v>
      </c>
      <c r="C8" s="397"/>
      <c r="H8" s="376"/>
      <c r="I8" s="376"/>
      <c r="J8" s="376"/>
      <c r="K8" s="376"/>
    </row>
    <row r="9" spans="2:11">
      <c r="B9" s="377"/>
      <c r="C9" s="378"/>
      <c r="D9" s="376"/>
      <c r="E9" s="376"/>
      <c r="F9" s="376"/>
      <c r="G9" s="376"/>
      <c r="H9" s="376"/>
      <c r="I9" s="376"/>
      <c r="J9" s="376"/>
      <c r="K9" s="376"/>
    </row>
    <row r="10" spans="2:11">
      <c r="B10" s="383" t="s">
        <v>3</v>
      </c>
      <c r="C10" s="398"/>
      <c r="D10" s="376"/>
      <c r="E10" s="383" t="s">
        <v>4</v>
      </c>
      <c r="F10" s="399"/>
      <c r="G10" s="376"/>
      <c r="H10" s="376"/>
      <c r="I10" s="376"/>
      <c r="J10" s="376"/>
      <c r="K10" s="376"/>
    </row>
    <row r="11" spans="2:11">
      <c r="B11" s="383" t="s">
        <v>5</v>
      </c>
      <c r="C11" s="398"/>
      <c r="D11" s="376"/>
      <c r="E11" s="384" t="s">
        <v>6</v>
      </c>
      <c r="F11" s="399"/>
      <c r="G11" s="376"/>
      <c r="H11" s="376"/>
      <c r="I11" s="376"/>
      <c r="J11" s="376"/>
      <c r="K11" s="376"/>
    </row>
    <row r="12" spans="2:11">
      <c r="B12" s="383" t="s">
        <v>7</v>
      </c>
      <c r="C12" s="398"/>
      <c r="D12" s="376"/>
      <c r="E12" s="383" t="s">
        <v>8</v>
      </c>
      <c r="F12" s="399"/>
      <c r="G12" s="376"/>
      <c r="H12" s="376"/>
      <c r="I12" s="376"/>
      <c r="J12" s="376"/>
      <c r="K12" s="376"/>
    </row>
    <row r="13" spans="2:11">
      <c r="B13" s="384" t="s">
        <v>9</v>
      </c>
      <c r="C13" s="398"/>
      <c r="D13" s="376"/>
      <c r="E13" s="383" t="s">
        <v>10</v>
      </c>
      <c r="F13" s="400"/>
      <c r="G13" s="376"/>
      <c r="H13" s="376"/>
      <c r="I13" s="376"/>
      <c r="J13" s="376"/>
      <c r="K13" s="376"/>
    </row>
    <row r="14" spans="2:11">
      <c r="B14" s="376"/>
      <c r="C14" s="376"/>
      <c r="D14" s="376"/>
      <c r="E14" s="376"/>
      <c r="F14" s="376"/>
      <c r="G14" s="376"/>
      <c r="H14" s="376"/>
      <c r="I14" s="376"/>
      <c r="J14" s="376"/>
      <c r="K14" s="376"/>
    </row>
    <row r="15" spans="2:11">
      <c r="B15" s="379"/>
      <c r="C15" s="379"/>
      <c r="D15" s="379"/>
      <c r="E15" s="379"/>
      <c r="F15" s="379"/>
      <c r="G15" s="379"/>
      <c r="H15" s="379"/>
      <c r="I15" s="379"/>
      <c r="J15" s="379"/>
      <c r="K15" s="379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5" t="s">
        <v>12</v>
      </c>
      <c r="C17" s="385" t="s">
        <v>13</v>
      </c>
      <c r="D17" s="385" t="s">
        <v>14</v>
      </c>
      <c r="E17" s="385" t="s">
        <v>15</v>
      </c>
      <c r="F17" s="385" t="s">
        <v>16</v>
      </c>
      <c r="G17" s="385" t="s">
        <v>17</v>
      </c>
      <c r="H17" s="385" t="s">
        <v>18</v>
      </c>
      <c r="I17" s="385" t="s">
        <v>19</v>
      </c>
      <c r="J17" s="385" t="s">
        <v>20</v>
      </c>
      <c r="K17" s="385" t="s">
        <v>21</v>
      </c>
    </row>
    <row r="18" spans="2:11">
      <c r="B18" s="380"/>
      <c r="C18" s="386"/>
      <c r="D18" s="387"/>
      <c r="E18" s="368"/>
      <c r="F18" s="388"/>
      <c r="G18" s="369"/>
      <c r="H18" s="370"/>
      <c r="I18" s="371"/>
      <c r="J18" s="369"/>
      <c r="K18" s="370"/>
    </row>
    <row r="19" spans="2:11">
      <c r="B19" s="380"/>
      <c r="C19" s="386"/>
      <c r="D19" s="387"/>
      <c r="E19" s="368"/>
      <c r="F19" s="388"/>
      <c r="G19" s="369"/>
      <c r="H19" s="370"/>
      <c r="I19" s="371"/>
      <c r="J19" s="369"/>
      <c r="K19" s="370"/>
    </row>
    <row r="20" spans="2:11">
      <c r="B20" s="381"/>
      <c r="C20" s="386"/>
      <c r="D20" s="387"/>
      <c r="E20" s="368"/>
      <c r="F20" s="388"/>
      <c r="G20" s="369"/>
      <c r="H20" s="370"/>
      <c r="I20" s="371"/>
      <c r="J20" s="369"/>
      <c r="K20" s="370"/>
    </row>
    <row r="21" spans="2:11">
      <c r="B21" s="381"/>
      <c r="C21" s="386"/>
      <c r="D21" s="387"/>
      <c r="E21" s="368"/>
      <c r="F21" s="388"/>
      <c r="G21" s="369"/>
      <c r="H21" s="370"/>
      <c r="I21" s="371"/>
      <c r="J21" s="369"/>
      <c r="K21" s="370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2" t="s">
        <v>23</v>
      </c>
      <c r="C24" s="373" t="s">
        <v>24</v>
      </c>
      <c r="D24" s="374"/>
      <c r="E24" s="374"/>
      <c r="F24" s="374"/>
      <c r="G24" s="375"/>
    </row>
    <row r="25" spans="2:7">
      <c r="B25" s="372"/>
      <c r="C25" s="373"/>
      <c r="D25" s="374"/>
      <c r="E25" s="374"/>
      <c r="F25" s="374"/>
      <c r="G25" s="375"/>
    </row>
    <row r="26" spans="2:7">
      <c r="B26" s="372"/>
      <c r="C26" s="373"/>
      <c r="D26" s="374"/>
      <c r="E26" s="374"/>
      <c r="F26" s="374"/>
      <c r="G26" s="375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153.392857" collapsed="false"/>
    <col min="12" max="12" customWidth="true" width="22.285714" collapsed="false"/>
    <col min="13" max="13" customWidth="true" width="30.82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2" t="s">
        <v>12</v>
      </c>
      <c r="B1" s="382" t="s">
        <v>25</v>
      </c>
      <c r="C1" s="382" t="s">
        <v>26</v>
      </c>
      <c r="D1" s="382" t="s">
        <v>27</v>
      </c>
      <c r="E1" s="382" t="s">
        <v>28</v>
      </c>
      <c r="F1" s="382" t="s">
        <v>29</v>
      </c>
      <c r="G1" s="382" t="s">
        <v>30</v>
      </c>
      <c r="H1" s="382" t="s">
        <v>31</v>
      </c>
      <c r="I1" s="382" t="s">
        <v>32</v>
      </c>
      <c r="J1" s="382" t="s">
        <v>33</v>
      </c>
      <c r="K1" s="382" t="s">
        <v>34</v>
      </c>
      <c r="L1" s="382" t="s">
        <v>35</v>
      </c>
      <c r="M1" s="382" t="s">
        <v>36</v>
      </c>
      <c r="N1" s="382" t="s">
        <v>37</v>
      </c>
      <c r="O1" s="382" t="s">
        <v>38</v>
      </c>
      <c r="P1" s="382" t="s">
        <v>39</v>
      </c>
      <c r="Q1" s="382" t="s">
        <v>40</v>
      </c>
      <c r="R1" s="382" t="s">
        <v>41</v>
      </c>
      <c r="S1" s="382" t="s">
        <v>42</v>
      </c>
      <c r="T1" s="382" t="s">
        <v>43</v>
      </c>
      <c r="U1" s="382" t="s">
        <v>44</v>
      </c>
      <c r="V1" s="382" t="s">
        <v>45</v>
      </c>
      <c r="W1" s="382" t="s">
        <v>46</v>
      </c>
      <c r="X1" s="382" t="s">
        <v>47</v>
      </c>
      <c r="Y1" s="382" t="s">
        <v>48</v>
      </c>
    </row>
    <row r="2" spans="1:25">
      <c r="A2" s="407" t="s">
        <v>49</v>
      </c>
      <c r="B2" s="403"/>
      <c r="C2" s="406" t="s">
        <v>50</v>
      </c>
      <c r="D2" s="413" t="s">
        <v>51</v>
      </c>
      <c r="E2" s="403" t="s">
        <v>52</v>
      </c>
      <c r="F2" s="403" t="s">
        <v>53</v>
      </c>
      <c r="G2" s="428" t="s">
        <v>331</v>
      </c>
      <c r="H2" s="408"/>
      <c r="I2" s="403"/>
      <c r="J2" s="403"/>
      <c r="K2" s="403" t="str">
        <f>_XLFN.IFERROR(VLOOKUP(J2,Keyword!$C$2:$D$507,2,FALSE),"")</f>
        <v/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25">
      <c r="A3" s="403" t="s">
        <v>54</v>
      </c>
      <c r="B3" s="403" t="s">
        <v>54</v>
      </c>
      <c r="C3" s="403" t="s">
        <v>54</v>
      </c>
      <c r="D3" s="403" t="s">
        <v>54</v>
      </c>
      <c r="E3" s="403" t="s">
        <v>54</v>
      </c>
      <c r="F3" s="403" t="s">
        <v>54</v>
      </c>
      <c r="G3" s="403" t="s">
        <v>331</v>
      </c>
      <c r="H3" s="415" t="s">
        <v>328</v>
      </c>
      <c r="I3" s="414" t="s">
        <v>55</v>
      </c>
      <c r="J3" s="403" t="s">
        <v>56</v>
      </c>
      <c r="K3" s="403" t="str">
        <f>_XLFN.IFERROR(VLOOKUP(J3,Keyword!$C$2:$D$507,2,FALSE),"")</f>
        <v>Go to the specified URL
- Value 1(*): URL of the web page to be opened</v>
      </c>
      <c r="L3" s="403" t="s">
        <v>54</v>
      </c>
      <c r="M3" s="403" t="s">
        <v>54</v>
      </c>
      <c r="N3" s="403" t="s">
        <v>57</v>
      </c>
      <c r="O3" s="403" t="s">
        <v>54</v>
      </c>
      <c r="P3" s="403" t="s">
        <v>54</v>
      </c>
      <c r="Q3" s="403" t="s">
        <v>54</v>
      </c>
      <c r="R3" s="403" t="s">
        <v>54</v>
      </c>
      <c r="S3" s="403" t="s">
        <v>54</v>
      </c>
      <c r="T3" s="403" t="s">
        <v>54</v>
      </c>
      <c r="U3" s="403" t="s">
        <v>54</v>
      </c>
      <c r="V3" s="403" t="s">
        <v>54</v>
      </c>
      <c r="W3" s="403" t="s">
        <v>54</v>
      </c>
      <c r="X3" s="403" t="s">
        <v>54</v>
      </c>
      <c r="Y3" s="403" t="s">
        <v>54</v>
      </c>
    </row>
    <row r="4" spans="1:25">
      <c r="A4" s="407" t="s">
        <v>49</v>
      </c>
      <c r="B4" s="403"/>
      <c r="C4" s="406" t="s">
        <v>58</v>
      </c>
      <c r="D4" s="403" t="s">
        <v>59</v>
      </c>
      <c r="E4" s="403" t="s">
        <v>52</v>
      </c>
      <c r="F4" s="403" t="s">
        <v>53</v>
      </c>
      <c r="G4" s="436" t="s">
        <v>331</v>
      </c>
      <c r="H4" s="408"/>
      <c r="I4" s="403"/>
      <c r="J4" s="403"/>
      <c r="K4" s="403" t="str">
        <f>_XLFN.IFERROR(VLOOKUP(J4,Keyword!$C$2:$D$507,2,FALSE),"")</f>
        <v/>
      </c>
      <c r="L4" s="403"/>
      <c r="M4" s="403"/>
      <c r="N4" s="403"/>
      <c r="O4" s="403"/>
      <c r="P4" s="403"/>
      <c r="Q4" s="403"/>
      <c r="R4" s="403"/>
      <c r="S4" s="403"/>
      <c r="T4" s="403"/>
      <c r="U4" s="403"/>
      <c r="V4" s="403"/>
      <c r="W4" s="403"/>
      <c r="X4" s="403"/>
      <c r="Y4" s="403"/>
    </row>
    <row r="5" spans="1:25">
      <c r="A5" s="403" t="s">
        <v>54</v>
      </c>
      <c r="B5" s="403" t="s">
        <v>54</v>
      </c>
      <c r="C5" s="403" t="s">
        <v>54</v>
      </c>
      <c r="D5" s="403" t="s">
        <v>54</v>
      </c>
      <c r="E5" s="403" t="s">
        <v>54</v>
      </c>
      <c r="F5" s="403" t="s">
        <v>54</v>
      </c>
      <c r="G5" s="403" t="s">
        <v>331</v>
      </c>
      <c r="H5" s="408" t="s">
        <v>328</v>
      </c>
      <c r="I5" s="403" t="s">
        <v>59</v>
      </c>
      <c r="J5" s="403" t="s">
        <v>60</v>
      </c>
      <c r="K5" s="403" t="str">
        <f>_XLFN.IFERROR(VLOOKUP(J5,Keyword!$C$2:$D$507,2,FALSE),"")</f>
        <v>Verify text of label with specified value list
- Locator(*): Locator of the label to be verified
- Value 1(*): The name of table contains specified value list in 'Extension' Sheet. All specified values will be compared to the text of label</v>
      </c>
      <c r="L5" s="403" t="s">
        <v>54</v>
      </c>
      <c r="M5" s="403" t="s">
        <v>61</v>
      </c>
      <c r="N5" s="403" t="s">
        <v>50</v>
      </c>
      <c r="O5" s="403" t="s">
        <v>54</v>
      </c>
      <c r="P5" s="403" t="s">
        <v>54</v>
      </c>
      <c r="Q5" s="403" t="s">
        <v>54</v>
      </c>
      <c r="R5" s="403" t="s">
        <v>54</v>
      </c>
      <c r="S5" s="403" t="s">
        <v>54</v>
      </c>
      <c r="T5" s="403" t="s">
        <v>54</v>
      </c>
      <c r="U5" s="403" t="s">
        <v>54</v>
      </c>
      <c r="V5" s="403" t="s">
        <v>54</v>
      </c>
      <c r="W5" s="403" t="s">
        <v>54</v>
      </c>
      <c r="X5" s="403" t="s">
        <v>54</v>
      </c>
      <c r="Y5" s="403" t="s">
        <v>54</v>
      </c>
    </row>
    <row r="6" spans="1:25">
      <c r="A6" s="407" t="s">
        <v>49</v>
      </c>
      <c r="B6" s="403"/>
      <c r="C6" s="406" t="s">
        <v>62</v>
      </c>
      <c r="D6" s="403" t="s">
        <v>63</v>
      </c>
      <c r="E6" s="403" t="s">
        <v>52</v>
      </c>
      <c r="F6" s="403" t="s">
        <v>53</v>
      </c>
      <c r="G6" s="445" t="s">
        <v>332</v>
      </c>
      <c r="H6" s="408"/>
      <c r="I6" s="403"/>
      <c r="J6" s="403"/>
      <c r="K6" s="403" t="str">
        <f>_XLFN.IFERROR(VLOOKUP(J6,Keyword!$C$2:$D$507,2,FALSE),"")</f>
        <v/>
      </c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</row>
    <row r="7" spans="1:25">
      <c r="A7" s="403" t="s">
        <v>54</v>
      </c>
      <c r="B7" s="403" t="s">
        <v>54</v>
      </c>
      <c r="C7" s="403" t="s">
        <v>54</v>
      </c>
      <c r="D7" s="403" t="s">
        <v>54</v>
      </c>
      <c r="E7" s="403" t="s">
        <v>54</v>
      </c>
      <c r="F7" s="403" t="s">
        <v>54</v>
      </c>
      <c r="G7" s="403" t="s">
        <v>332</v>
      </c>
      <c r="H7" s="408" t="s">
        <v>328</v>
      </c>
      <c r="I7" s="403" t="s">
        <v>63</v>
      </c>
      <c r="J7" s="403" t="s">
        <v>64</v>
      </c>
      <c r="K7" s="403" t="str">
        <f>_XLFN.IFERROR(VLOOKUP(J7,Keyword!$C$2:$D$507,2,FALSE),"")</f>
        <v>Verify all values of specified data table with the result of executing SQL Statement
- Locator(*): Locator of [tbody] element
- Value 1(*): The SQL Statement to be executed (defined in [sqlStatement.properties]). The result of executing SQL Statement will</v>
      </c>
      <c r="L7" s="403" t="s">
        <v>54</v>
      </c>
      <c r="M7" s="403" t="s">
        <v>65</v>
      </c>
      <c r="N7" s="403" t="s">
        <v>66</v>
      </c>
      <c r="O7" s="403" t="s">
        <v>54</v>
      </c>
      <c r="P7" s="403" t="s">
        <v>54</v>
      </c>
      <c r="Q7" s="403" t="s">
        <v>54</v>
      </c>
      <c r="R7" s="403" t="s">
        <v>54</v>
      </c>
      <c r="S7" s="403" t="s">
        <v>67</v>
      </c>
      <c r="T7" s="403" t="s">
        <v>68</v>
      </c>
      <c r="U7" s="403" t="s">
        <v>54</v>
      </c>
      <c r="V7" s="403" t="s">
        <v>54</v>
      </c>
      <c r="W7" s="403" t="s">
        <v>54</v>
      </c>
      <c r="X7" s="403" t="s">
        <v>333</v>
      </c>
      <c r="Y7" s="403" t="s">
        <v>334</v>
      </c>
    </row>
    <row r="8" spans="1:25">
      <c r="A8" s="407" t="s">
        <v>49</v>
      </c>
      <c r="B8" s="403"/>
      <c r="C8" s="406" t="s">
        <v>69</v>
      </c>
      <c r="D8" s="403" t="s">
        <v>70</v>
      </c>
      <c r="E8" s="403" t="s">
        <v>52</v>
      </c>
      <c r="F8" s="403" t="s">
        <v>53</v>
      </c>
      <c r="G8" s="453" t="s">
        <v>332</v>
      </c>
      <c r="H8" s="408"/>
      <c r="I8" s="403"/>
      <c r="J8" s="403"/>
      <c r="K8" s="403" t="str">
        <f>_XLFN.IFERROR(VLOOKUP(J8,Keyword!$C$2:$D$507,2,FALSE),"")</f>
        <v/>
      </c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</row>
    <row r="9" spans="1:25">
      <c r="A9" s="407" t="s">
        <v>54</v>
      </c>
      <c r="B9" s="403" t="s">
        <v>54</v>
      </c>
      <c r="C9" s="406" t="s">
        <v>54</v>
      </c>
      <c r="D9" s="403" t="s">
        <v>54</v>
      </c>
      <c r="E9" s="403" t="s">
        <v>54</v>
      </c>
      <c r="F9" s="403" t="s">
        <v>54</v>
      </c>
      <c r="G9" s="403" t="s">
        <v>331</v>
      </c>
      <c r="H9" s="408" t="s">
        <v>328</v>
      </c>
      <c r="I9" s="403" t="s">
        <v>71</v>
      </c>
      <c r="J9" s="403" t="s">
        <v>72</v>
      </c>
      <c r="K9" s="403" t="str">
        <f>_XLFN.IFERROR(VLOOKUP(J9,Keyword!$C$2:$D$507,2,FALSE),"")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403" t="s">
        <v>54</v>
      </c>
      <c r="M9" s="403" t="s">
        <v>54</v>
      </c>
      <c r="N9" s="403" t="s">
        <v>73</v>
      </c>
      <c r="O9" s="403" t="s">
        <v>74</v>
      </c>
      <c r="P9" s="403" t="s">
        <v>75</v>
      </c>
      <c r="Q9" s="403" t="s">
        <v>76</v>
      </c>
      <c r="R9" s="403" t="s">
        <v>77</v>
      </c>
      <c r="S9" s="403" t="s">
        <v>78</v>
      </c>
      <c r="T9" s="403" t="s">
        <v>54</v>
      </c>
      <c r="U9" s="403" t="s">
        <v>54</v>
      </c>
      <c r="V9" s="403" t="s">
        <v>54</v>
      </c>
      <c r="W9" s="403" t="s">
        <v>54</v>
      </c>
      <c r="X9" s="403" t="s">
        <v>54</v>
      </c>
      <c r="Y9" s="403" t="s">
        <v>54</v>
      </c>
    </row>
    <row r="10" spans="1:25">
      <c r="A10" s="403" t="s">
        <v>54</v>
      </c>
      <c r="B10" s="403" t="s">
        <v>54</v>
      </c>
      <c r="C10" s="403" t="s">
        <v>54</v>
      </c>
      <c r="D10" s="403" t="s">
        <v>54</v>
      </c>
      <c r="E10" s="403" t="s">
        <v>54</v>
      </c>
      <c r="F10" s="403" t="s">
        <v>54</v>
      </c>
      <c r="G10" s="403" t="s">
        <v>332</v>
      </c>
      <c r="H10" s="408" t="s">
        <v>329</v>
      </c>
      <c r="I10" s="403" t="s">
        <v>70</v>
      </c>
      <c r="J10" s="403" t="s">
        <v>79</v>
      </c>
      <c r="K10" s="403" t="str">
        <f>_XLFN.IFERROR(VLOOKUP(J10,Keyword!$C$2:$D$507,2,FALSE),"")</f>
        <v>Verify all values of specified data table with the result of running WS
NOTE: This keyword is used after running [RUN SOAPUI] keyword
- Locator(*): Locator of [tbody] element
- Value 1(*): The name of table contains WS information in 'Extension' Sheet
-- </v>
      </c>
      <c r="L10" s="403" t="s">
        <v>54</v>
      </c>
      <c r="M10" s="403" t="s">
        <v>65</v>
      </c>
      <c r="N10" s="403" t="s">
        <v>62</v>
      </c>
      <c r="O10" s="403" t="s">
        <v>54</v>
      </c>
      <c r="P10" s="403" t="s">
        <v>54</v>
      </c>
      <c r="Q10" s="403" t="s">
        <v>54</v>
      </c>
      <c r="R10" s="403" t="s">
        <v>54</v>
      </c>
      <c r="S10" s="403" t="s">
        <v>54</v>
      </c>
      <c r="T10" s="403" t="s">
        <v>54</v>
      </c>
      <c r="U10" s="403" t="s">
        <v>54</v>
      </c>
      <c r="V10" s="403" t="s">
        <v>54</v>
      </c>
      <c r="W10" s="403" t="s">
        <v>54</v>
      </c>
      <c r="X10" s="403" t="s">
        <v>335</v>
      </c>
      <c r="Y10" s="403" t="s">
        <v>336</v>
      </c>
    </row>
    <row r="11" spans="1:25">
      <c r="A11" s="407" t="s">
        <v>49</v>
      </c>
      <c r="B11" s="403" t="s">
        <v>80</v>
      </c>
      <c r="C11" s="406" t="s">
        <v>81</v>
      </c>
      <c r="D11" s="403" t="s">
        <v>82</v>
      </c>
      <c r="E11" s="403" t="s">
        <v>52</v>
      </c>
      <c r="F11" s="403" t="s">
        <v>53</v>
      </c>
      <c r="G11" s="460" t="s">
        <v>331</v>
      </c>
      <c r="H11" s="408"/>
      <c r="I11" s="403"/>
      <c r="J11" s="403"/>
      <c r="K11" s="403" t="str">
        <f>_XLFN.IFERROR(VLOOKUP(J11,'[1]Keyword'!$C$2:$D$507,2,FALSE),"")</f>
        <v/>
      </c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</row>
    <row r="12" spans="1:25">
      <c r="A12" s="407" t="s">
        <v>54</v>
      </c>
      <c r="B12" s="403" t="s">
        <v>54</v>
      </c>
      <c r="C12" s="406" t="s">
        <v>54</v>
      </c>
      <c r="D12" s="403" t="s">
        <v>54</v>
      </c>
      <c r="E12" s="403" t="s">
        <v>54</v>
      </c>
      <c r="F12" s="403" t="s">
        <v>54</v>
      </c>
      <c r="G12" s="403" t="s">
        <v>331</v>
      </c>
      <c r="H12" s="408" t="s">
        <v>328</v>
      </c>
      <c r="I12" s="403" t="s">
        <v>83</v>
      </c>
      <c r="J12" s="403" t="s">
        <v>84</v>
      </c>
      <c r="K12" s="403" t="str">
        <f>_XLFN.IFERROR(VLOOKUP(J12,'[1]Keyword'!$C$2:$D$507,2,FALSE),"")</f>
        <v>Click on the given element
- Locator(*): Locator of the element to be clicked</v>
      </c>
      <c r="L12" s="403" t="s">
        <v>54</v>
      </c>
      <c r="M12" s="403" t="s">
        <v>85</v>
      </c>
      <c r="N12" s="403" t="s">
        <v>54</v>
      </c>
      <c r="O12" s="403" t="s">
        <v>54</v>
      </c>
      <c r="P12" s="403" t="s">
        <v>54</v>
      </c>
      <c r="Q12" s="403" t="s">
        <v>54</v>
      </c>
      <c r="R12" s="403" t="s">
        <v>54</v>
      </c>
      <c r="S12" s="403" t="s">
        <v>54</v>
      </c>
      <c r="T12" s="403" t="s">
        <v>54</v>
      </c>
      <c r="U12" s="403" t="s">
        <v>54</v>
      </c>
      <c r="V12" s="403" t="s">
        <v>54</v>
      </c>
      <c r="W12" s="403" t="s">
        <v>54</v>
      </c>
      <c r="X12" s="403" t="s">
        <v>54</v>
      </c>
      <c r="Y12" s="403" t="s">
        <v>54</v>
      </c>
    </row>
    <row r="13" spans="1:25">
      <c r="A13" s="403" t="s">
        <v>54</v>
      </c>
      <c r="B13" s="403" t="s">
        <v>54</v>
      </c>
      <c r="C13" s="403" t="s">
        <v>54</v>
      </c>
      <c r="D13" s="403" t="s">
        <v>54</v>
      </c>
      <c r="E13" s="403" t="s">
        <v>54</v>
      </c>
      <c r="F13" s="403" t="s">
        <v>54</v>
      </c>
      <c r="G13" s="403" t="s">
        <v>331</v>
      </c>
      <c r="H13" s="408" t="s">
        <v>329</v>
      </c>
      <c r="I13" s="403" t="s">
        <v>86</v>
      </c>
      <c r="J13" s="412" t="s">
        <v>87</v>
      </c>
      <c r="K13" s="403" t="str">
        <f>_XLFN.IFERROR(VLOOKUP(J13,'[1]Keyword'!$C$2:$D$507,2,FALSE),"")</f>
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</c>
      <c r="L13" s="403" t="s">
        <v>54</v>
      </c>
      <c r="M13" s="403" t="s">
        <v>65</v>
      </c>
      <c r="N13" s="403" t="s">
        <v>330</v>
      </c>
      <c r="O13" s="412" t="s">
        <v>54</v>
      </c>
      <c r="P13" s="412" t="s">
        <v>54</v>
      </c>
      <c r="Q13" s="412" t="s">
        <v>88</v>
      </c>
      <c r="R13" s="412" t="s">
        <v>89</v>
      </c>
      <c r="S13" s="403" t="s">
        <v>67</v>
      </c>
      <c r="T13" s="403" t="s">
        <v>68</v>
      </c>
      <c r="U13" s="412" t="s">
        <v>54</v>
      </c>
      <c r="V13" s="403" t="s">
        <v>58</v>
      </c>
      <c r="W13" s="403" t="s">
        <v>54</v>
      </c>
      <c r="X13" s="403" t="s">
        <v>54</v>
      </c>
      <c r="Y13" s="403" t="s">
        <v>54</v>
      </c>
    </row>
    <row r="14" spans="1:25">
      <c r="A14" s="405" t="s">
        <v>54</v>
      </c>
      <c r="B14" s="405" t="s">
        <v>54</v>
      </c>
      <c r="C14" s="402" t="s">
        <v>90</v>
      </c>
      <c r="D14" s="402" t="s">
        <v>54</v>
      </c>
      <c r="E14" s="402" t="s">
        <v>54</v>
      </c>
      <c r="F14" s="402" t="s">
        <v>53</v>
      </c>
      <c r="G14" s="405" t="s">
        <v>54</v>
      </c>
      <c r="H14" s="405" t="s">
        <v>54</v>
      </c>
      <c r="I14" s="405" t="s">
        <v>54</v>
      </c>
      <c r="J14" s="405"/>
      <c r="K14" s="405"/>
      <c r="L14" s="405" t="s">
        <v>54</v>
      </c>
      <c r="M14" s="405" t="s">
        <v>54</v>
      </c>
      <c r="N14" s="405" t="s">
        <v>54</v>
      </c>
      <c r="O14" s="405" t="s">
        <v>54</v>
      </c>
      <c r="P14" s="405" t="s">
        <v>54</v>
      </c>
      <c r="Q14" s="405" t="s">
        <v>54</v>
      </c>
      <c r="R14" s="405" t="s">
        <v>54</v>
      </c>
      <c r="S14" s="405" t="s">
        <v>54</v>
      </c>
      <c r="T14" s="405"/>
      <c r="U14" s="405"/>
      <c r="V14" s="405"/>
      <c r="W14" s="405"/>
      <c r="X14" s="405"/>
      <c r="Y14" s="405"/>
    </row>
  </sheetData>
  <autoFilter ref="A1:Y14"/>
  <dataValidations count="8">
    <dataValidation allowBlank="1" errorStyle="stop" operator="between" showInputMessage="1" sqref="J2:J4" type="list" view="0">
      <formula1>$B$2:$B$504</formula1>
    </dataValidation>
    <dataValidation allowBlank="1" errorStyle="stop" operator="between" showInputMessage="1" sqref="E2 E4 E6 E8:E9" type="list" view="0">
      <formula1>"High, Medium, Low"</formula1>
    </dataValidation>
    <dataValidation allowBlank="1" errorStyle="stop" operator="between" showInputMessage="1" sqref="J5 J7 J10" type="list" view="0">
      <formula1>#REF!</formula1>
    </dataValidation>
    <dataValidation allowBlank="1" errorStyle="stop" operator="between" showInputMessage="1" sqref="J6" type="list" view="0">
      <formula1>$B$2:$B$504</formula1>
    </dataValidation>
    <dataValidation allowBlank="1" errorStyle="stop" operator="between" showInputMessage="1" sqref="J8:J9" type="list" view="0">
      <formula1>Keyword!$C$2:$C$507</formula1>
    </dataValidation>
    <dataValidation allowBlank="1" errorStyle="stop" operator="between" showInputMessage="1" sqref="E11:E12" type="list" view="0">
      <formula1>"High, Medium, Low"</formula1>
    </dataValidation>
    <dataValidation allowBlank="1" errorStyle="stop" operator="between" showInputMessage="1" sqref="J11:J12" type="list" view="0">
      <formula1>$B$2:$B$496</formula1>
    </dataValidation>
    <dataValidation allowBlank="1" errorStyle="stop" operator="between" showInputMessage="1" sqref="J13" type="list" view="0">
      <formula1>#REF!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O10"/>
  <sheetViews>
    <sheetView topLeftCell="B1"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50.794643" collapsed="false"/>
    <col min="6" max="6" customWidth="true" width="32.982143" collapsed="false"/>
    <col min="7" max="7" customWidth="true" width="13.714286" collapsed="false"/>
    <col min="8" max="8" customWidth="true" width="17.0" collapsed="false"/>
    <col min="9" max="9" customWidth="true" width="24.178571" collapsed="false"/>
    <col min="10" max="10" customWidth="true" width="26.241071" collapsed="false"/>
    <col min="11" max="11" customWidth="true" width="39.258929" collapsed="false"/>
    <col min="12" max="12" customWidth="true" width="10.357143" collapsed="false"/>
    <col min="13" max="13" customWidth="true" width="10.267857" collapsed="false"/>
  </cols>
  <sheetData>
    <row r="2" spans="4:5">
      <c r="D2" s="367" t="s">
        <v>50</v>
      </c>
      <c r="E2" s="410" t="s">
        <v>91</v>
      </c>
    </row>
    <row r="3" spans="5:11">
      <c r="E3" s="409" t="s">
        <v>92</v>
      </c>
      <c r="F3" s="409" t="s">
        <v>93</v>
      </c>
      <c r="G3" s="409" t="s">
        <v>94</v>
      </c>
      <c r="H3" s="409" t="s">
        <v>95</v>
      </c>
      <c r="I3" s="409" t="s">
        <v>96</v>
      </c>
      <c r="J3" s="409" t="s">
        <v>97</v>
      </c>
      <c r="K3" s="367" t="s">
        <v>50</v>
      </c>
    </row>
    <row r="4" spans="8:8">
      <c r="H4" s="2" t="s">
        <v>54</v>
      </c>
    </row>
    <row r="5" spans="4:5">
      <c r="D5" s="367" t="s">
        <v>58</v>
      </c>
      <c r="E5" s="410" t="s">
        <v>91</v>
      </c>
    </row>
    <row r="6" spans="5:5">
      <c r="E6" s="409" t="s">
        <v>98</v>
      </c>
    </row>
    <row r="7" spans="5:6">
      <c r="E7" s="409" t="s">
        <v>99</v>
      </c>
      <c r="F7" s="367" t="s">
        <v>58</v>
      </c>
    </row>
    <row r="9" spans="4:13">
      <c r="D9" s="411" t="s">
        <v>62</v>
      </c>
      <c r="E9" s="424" t="s">
        <v>100</v>
      </c>
      <c r="F9" s="424" t="s">
        <v>101</v>
      </c>
      <c r="G9" s="424" t="s">
        <v>102</v>
      </c>
      <c r="H9" s="424" t="s">
        <v>103</v>
      </c>
      <c r="I9" s="424" t="s">
        <v>104</v>
      </c>
      <c r="J9" s="425" t="s">
        <v>105</v>
      </c>
      <c r="K9" s="425" t="s">
        <v>106</v>
      </c>
      <c r="L9" s="424" t="s">
        <v>107</v>
      </c>
      <c r="M9" s="424" t="s">
        <v>108</v>
      </c>
    </row>
    <row r="10" spans="5:14">
      <c r="E10" s="403" t="s">
        <v>109</v>
      </c>
      <c r="F10" s="403" t="s">
        <v>54</v>
      </c>
      <c r="G10" s="403" t="s">
        <v>54</v>
      </c>
      <c r="H10" s="403" t="s">
        <v>54</v>
      </c>
      <c r="I10" s="403" t="s">
        <v>54</v>
      </c>
      <c r="J10" s="409" t="s">
        <v>54</v>
      </c>
      <c r="K10" s="403" t="s">
        <v>54</v>
      </c>
      <c r="L10" s="403" t="s">
        <v>54</v>
      </c>
      <c r="M10" s="403" t="s">
        <v>54</v>
      </c>
      <c r="N10" s="411" t="s">
        <v>62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5" sqref="F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9"/>
      <c r="B1" s="389"/>
      <c r="C1" s="389"/>
      <c r="D1" s="390"/>
      <c r="E1" s="391"/>
      <c r="F1" s="401" t="s">
        <v>110</v>
      </c>
      <c r="G1" s="404" t="s">
        <v>338</v>
      </c>
      <c r="H1" s="392"/>
      <c r="I1" s="392"/>
      <c r="J1" s="391"/>
    </row>
    <row customHeight="1" ht="15" r="2" spans="1:18">
      <c r="A2" s="389"/>
      <c r="B2" s="389"/>
      <c r="C2" s="389"/>
      <c r="D2" s="390"/>
      <c r="E2" s="391"/>
      <c r="F2" s="401" t="s">
        <v>111</v>
      </c>
      <c r="G2" s="404" t="s">
        <v>339</v>
      </c>
      <c r="H2" s="392"/>
      <c r="I2" s="392"/>
      <c r="J2" s="391"/>
    </row>
    <row customHeight="1" ht="15" r="3" spans="1:18">
      <c r="A3" s="389"/>
      <c r="B3" s="420" t="s">
        <v>112</v>
      </c>
      <c r="C3" s="420"/>
      <c r="D3" s="420"/>
      <c r="E3" s="420"/>
      <c r="F3" s="401" t="s">
        <v>113</v>
      </c>
      <c r="G3" s="404" t="s">
        <v>340</v>
      </c>
      <c r="H3" s="392"/>
      <c r="I3" s="392"/>
      <c r="J3" s="391"/>
    </row>
    <row customHeight="1" ht="12.75" r="4" spans="1:18">
      <c r="A4" s="389"/>
      <c r="B4" s="420"/>
      <c r="C4" s="420"/>
      <c r="D4" s="420"/>
      <c r="E4" s="420"/>
      <c r="F4" s="392"/>
      <c r="G4" s="392"/>
      <c r="H4" s="392"/>
      <c r="I4" s="392"/>
      <c r="J4" s="391"/>
    </row>
    <row customHeight="1" ht="12.75" r="5" spans="1:18">
      <c r="A5" s="389"/>
      <c r="B5" s="420"/>
      <c r="C5" s="420"/>
      <c r="D5" s="420"/>
      <c r="E5" s="420"/>
      <c r="F5" s="392"/>
      <c r="G5" s="392"/>
      <c r="H5" s="392"/>
      <c r="I5" s="392"/>
      <c r="J5" s="391"/>
    </row>
    <row customHeight="1" ht="12.75" r="6" spans="1:18">
      <c r="A6" s="389"/>
      <c r="B6" s="389"/>
      <c r="C6" s="389"/>
      <c r="D6" s="390"/>
      <c r="E6" s="391"/>
      <c r="F6" s="392"/>
      <c r="G6" s="392"/>
      <c r="H6" s="392"/>
      <c r="I6" s="392"/>
      <c r="J6" s="391"/>
    </row>
    <row customHeight="1" ht="15" r="7" spans="1:18">
      <c r="A7" s="389"/>
      <c r="B7" s="421" t="s">
        <v>1</v>
      </c>
      <c r="C7" s="422"/>
      <c r="D7" s="423"/>
      <c r="E7" s="423"/>
      <c r="F7" s="392"/>
      <c r="G7" s="392"/>
      <c r="H7" s="401" t="s">
        <v>114</v>
      </c>
      <c r="I7" s="401" t="s">
        <v>115</v>
      </c>
      <c r="J7" s="391"/>
    </row>
    <row customHeight="1" ht="15" r="8" spans="1:18">
      <c r="A8" s="389"/>
      <c r="B8" s="421" t="s">
        <v>116</v>
      </c>
      <c r="C8" s="422"/>
      <c r="D8" s="423"/>
      <c r="E8" s="423"/>
      <c r="F8" s="392"/>
      <c r="G8" s="392"/>
      <c r="H8" s="395">
        <f>H13</f>
      </c>
      <c r="I8" s="395">
        <f>I13</f>
      </c>
      <c r="J8" s="391"/>
    </row>
    <row customHeight="1" ht="12.75" r="9" spans="1:18">
      <c r="A9" s="389"/>
      <c r="B9" s="389"/>
      <c r="C9" s="389"/>
      <c r="D9" s="390"/>
      <c r="E9" s="391"/>
      <c r="F9" s="392"/>
      <c r="G9" s="392"/>
      <c r="H9" s="392"/>
      <c r="I9" s="392"/>
      <c r="J9" s="391"/>
    </row>
    <row customHeight="1" ht="13.50" r="10" spans="1:18">
      <c r="A10" s="393"/>
      <c r="C10" s="394"/>
      <c r="D10" s="394"/>
      <c r="E10" s="394"/>
      <c r="F10" s="394"/>
      <c r="G10" s="394"/>
      <c r="H10" s="392"/>
      <c r="I10" s="392"/>
      <c r="J10" s="389"/>
    </row>
    <row customHeight="1" ht="15" r="11" spans="1:18">
      <c r="A11" s="393"/>
      <c r="B11" s="401" t="s">
        <v>12</v>
      </c>
      <c r="C11" s="401" t="s">
        <v>114</v>
      </c>
      <c r="D11" s="401" t="s">
        <v>115</v>
      </c>
      <c r="E11" s="401" t="s">
        <v>117</v>
      </c>
      <c r="F11" s="401" t="s">
        <v>118</v>
      </c>
      <c r="G11" s="401" t="s">
        <v>119</v>
      </c>
      <c r="H11" s="401" t="s">
        <v>120</v>
      </c>
      <c r="I11" s="401" t="s">
        <v>121</v>
      </c>
      <c r="J11" s="389"/>
    </row>
    <row customHeight="1" ht="13.50" r="12" spans="1:18">
      <c r="A12" s="393"/>
      <c r="B12" s="530" t="s">
        <v>49</v>
      </c>
      <c r="C12" s="471">
        <f>COUNTIFS(TC!$A$2:$A$65000,B12,TC!$G$2:$G$65000,"PASS")</f>
      </c>
      <c r="D12" s="479">
        <f>COUNTIFS(TC!$A$2:$A$65000,B12,TC!$G$2:$G$65000,"FAIL")</f>
      </c>
      <c r="E12" s="487">
        <f>COUNTIFS(TC!$A$2:$A$65000,B12,TC!$G$2:$G$65000,"SKIP")</f>
      </c>
      <c r="F12" s="495">
        <f>COUNTIF(TC!$A$2:$A$64788,B12)</f>
      </c>
      <c r="G12" s="504">
        <f>IF(F12=0,0,(C12+D12)/F12)</f>
      </c>
      <c r="H12" s="512">
        <f>IF((F12-E12)=0,0,C12/(F12-E12))</f>
      </c>
      <c r="I12" s="520">
        <f>IF((F12-E12)=0,0,D12/(F12-E12))</f>
      </c>
      <c r="J12" s="389"/>
    </row>
    <row customHeight="1" ht="13.50" r="13" spans="1:18">
      <c r="A13" s="393"/>
      <c r="B13" s="537" t="s">
        <v>337</v>
      </c>
      <c r="C13" s="545">
        <f>SUM(C12:C12)</f>
      </c>
      <c r="D13" s="553">
        <f>SUM(D12:D12)</f>
      </c>
      <c r="E13" s="561">
        <f>SUM(E12:E12)</f>
      </c>
      <c r="F13" s="569">
        <f>SUM(F12:F12)</f>
      </c>
      <c r="G13" s="579">
        <f>IF(F13=0,0,(C13+D13)/F13)</f>
      </c>
      <c r="H13" s="587">
        <f>IF((F13-E13)=0,0,(C13)/(F13-E13))</f>
      </c>
      <c r="I13" s="595">
        <f>IF((F13-E13)=0,0,(D13)/(F13-E13))</f>
      </c>
      <c r="J13" s="389"/>
    </row>
    <row customHeight="1" ht="19.50" r="14" spans="1:18">
      <c r="A14" s="389"/>
      <c r="B14" s="389"/>
      <c r="C14" s="389"/>
      <c r="D14" s="389"/>
      <c r="E14" s="389"/>
      <c r="F14" s="389"/>
      <c r="G14" s="389"/>
      <c r="H14" s="389"/>
      <c r="I14" s="389"/>
      <c r="J14" s="389"/>
      <c r="M14" s="396"/>
      <c r="N14" s="396"/>
      <c r="O14" s="396"/>
    </row>
    <row customHeight="1" ht="19.50" r="15" spans="1:18">
      <c r="A15" s="389"/>
      <c r="B15" s="389"/>
      <c r="C15" s="389"/>
      <c r="D15" s="389"/>
      <c r="E15" s="389"/>
      <c r="F15" s="389"/>
      <c r="G15" s="389"/>
      <c r="H15" s="389"/>
      <c r="I15" s="389"/>
      <c r="J15" s="389"/>
      <c r="K15" s="396"/>
      <c r="M15" s="396"/>
      <c r="O15" s="396"/>
    </row>
    <row customHeight="1" ht="19.50" r="16" spans="1:18">
      <c r="A16" s="389"/>
      <c r="B16" s="389"/>
      <c r="C16" s="389"/>
      <c r="D16" s="389"/>
      <c r="E16" s="389"/>
      <c r="F16" s="389"/>
      <c r="G16" s="389"/>
      <c r="H16" s="389"/>
      <c r="I16" s="389"/>
      <c r="J16" s="389"/>
      <c r="K16" s="396"/>
      <c r="M16" s="396"/>
      <c r="O16" s="396"/>
    </row>
    <row customHeight="1" ht="19.50" r="17" spans="1:18">
      <c r="A17" s="389"/>
      <c r="B17" s="389"/>
      <c r="C17" s="389"/>
      <c r="D17" s="389"/>
      <c r="E17" s="389"/>
      <c r="F17" s="389"/>
      <c r="G17" s="389"/>
      <c r="H17" s="389"/>
      <c r="I17" s="389"/>
      <c r="J17" s="389"/>
      <c r="K17" s="396"/>
      <c r="M17" s="396"/>
      <c r="O17" s="396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drawing r:id="rId1"/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3.0" collapsed="false"/>
    <col min="4" max="4" customWidth="true" width="125.285714" collapsed="false"/>
  </cols>
  <sheetData>
    <row r="1" spans="1:4">
      <c r="A1" s="401" t="s">
        <v>122</v>
      </c>
      <c r="B1" s="401" t="s">
        <v>35</v>
      </c>
      <c r="C1" s="401" t="s">
        <v>33</v>
      </c>
      <c r="D1" s="401" t="s">
        <v>123</v>
      </c>
    </row>
    <row r="2" spans="1:4">
      <c r="A2" s="426" t="s">
        <v>124</v>
      </c>
      <c r="B2" s="426" t="s">
        <v>125</v>
      </c>
      <c r="C2" s="426" t="s">
        <v>126</v>
      </c>
      <c r="D2" s="427" t="s">
        <v>127</v>
      </c>
    </row>
    <row r="3" spans="1:4">
      <c r="A3" s="426" t="s">
        <v>124</v>
      </c>
      <c r="B3" s="426" t="s">
        <v>125</v>
      </c>
      <c r="C3" s="426" t="s">
        <v>128</v>
      </c>
      <c r="D3" s="427" t="s">
        <v>129</v>
      </c>
    </row>
    <row r="4" spans="1:4">
      <c r="A4" s="426" t="s">
        <v>124</v>
      </c>
      <c r="B4" s="426" t="s">
        <v>125</v>
      </c>
      <c r="C4" s="426" t="s">
        <v>130</v>
      </c>
      <c r="D4" s="427" t="s">
        <v>131</v>
      </c>
    </row>
    <row r="5" spans="1:4">
      <c r="A5" s="426" t="s">
        <v>124</v>
      </c>
      <c r="B5" s="426" t="s">
        <v>125</v>
      </c>
      <c r="C5" s="426" t="s">
        <v>132</v>
      </c>
      <c r="D5" s="427" t="s">
        <v>133</v>
      </c>
    </row>
    <row r="6" spans="1:4">
      <c r="A6" s="426" t="s">
        <v>124</v>
      </c>
      <c r="B6" s="426" t="s">
        <v>134</v>
      </c>
      <c r="C6" s="426" t="s">
        <v>56</v>
      </c>
      <c r="D6" s="427" t="s">
        <v>135</v>
      </c>
    </row>
    <row r="7" spans="1:4">
      <c r="A7" s="426" t="s">
        <v>124</v>
      </c>
      <c r="B7" s="426" t="s">
        <v>134</v>
      </c>
      <c r="C7" s="426" t="s">
        <v>136</v>
      </c>
      <c r="D7" s="427" t="s">
        <v>137</v>
      </c>
    </row>
    <row r="8" spans="1:4">
      <c r="A8" s="426" t="s">
        <v>124</v>
      </c>
      <c r="B8" s="426" t="s">
        <v>134</v>
      </c>
      <c r="C8" s="426" t="s">
        <v>138</v>
      </c>
      <c r="D8" s="427" t="s">
        <v>139</v>
      </c>
    </row>
    <row r="9" spans="1:4">
      <c r="A9" s="426" t="s">
        <v>124</v>
      </c>
      <c r="B9" s="426" t="s">
        <v>134</v>
      </c>
      <c r="C9" s="426" t="s">
        <v>140</v>
      </c>
      <c r="D9" s="427" t="s">
        <v>141</v>
      </c>
    </row>
    <row r="10" spans="1:4">
      <c r="A10" s="426" t="s">
        <v>124</v>
      </c>
      <c r="B10" s="426" t="s">
        <v>134</v>
      </c>
      <c r="C10" s="426" t="s">
        <v>142</v>
      </c>
      <c r="D10" s="427" t="s">
        <v>143</v>
      </c>
    </row>
    <row r="11" spans="1:4">
      <c r="A11" s="426" t="s">
        <v>124</v>
      </c>
      <c r="B11" s="426" t="s">
        <v>144</v>
      </c>
      <c r="C11" s="426" t="s">
        <v>145</v>
      </c>
      <c r="D11" s="427" t="s">
        <v>146</v>
      </c>
    </row>
    <row r="12" spans="1:4">
      <c r="A12" s="426" t="s">
        <v>124</v>
      </c>
      <c r="B12" s="426" t="s">
        <v>144</v>
      </c>
      <c r="C12" s="426" t="s">
        <v>147</v>
      </c>
      <c r="D12" s="427" t="s">
        <v>148</v>
      </c>
    </row>
    <row r="13" spans="1:4">
      <c r="A13" s="426" t="s">
        <v>124</v>
      </c>
      <c r="B13" s="426" t="s">
        <v>144</v>
      </c>
      <c r="C13" s="426" t="s">
        <v>149</v>
      </c>
      <c r="D13" s="427" t="s">
        <v>150</v>
      </c>
    </row>
    <row r="14" spans="1:4">
      <c r="A14" s="426" t="s">
        <v>124</v>
      </c>
      <c r="B14" s="426" t="s">
        <v>144</v>
      </c>
      <c r="C14" s="426" t="s">
        <v>60</v>
      </c>
      <c r="D14" s="427" t="s">
        <v>151</v>
      </c>
    </row>
    <row r="15" spans="1:4">
      <c r="A15" s="426" t="s">
        <v>124</v>
      </c>
      <c r="B15" s="426" t="s">
        <v>144</v>
      </c>
      <c r="C15" s="426" t="s">
        <v>152</v>
      </c>
      <c r="D15" s="427" t="s">
        <v>153</v>
      </c>
    </row>
    <row r="16" spans="1:4">
      <c r="A16" s="426" t="s">
        <v>124</v>
      </c>
      <c r="B16" s="426" t="s">
        <v>144</v>
      </c>
      <c r="C16" s="426" t="s">
        <v>154</v>
      </c>
      <c r="D16" s="427" t="s">
        <v>155</v>
      </c>
    </row>
    <row r="17" spans="1:4">
      <c r="A17" s="426" t="s">
        <v>124</v>
      </c>
      <c r="B17" s="426" t="s">
        <v>156</v>
      </c>
      <c r="C17" s="426" t="s">
        <v>157</v>
      </c>
      <c r="D17" s="427" t="s">
        <v>158</v>
      </c>
    </row>
    <row r="18" spans="1:4">
      <c r="A18" s="426" t="s">
        <v>124</v>
      </c>
      <c r="B18" s="426" t="s">
        <v>156</v>
      </c>
      <c r="C18" s="426" t="s">
        <v>159</v>
      </c>
      <c r="D18" s="427" t="s">
        <v>160</v>
      </c>
    </row>
    <row r="19" spans="1:4">
      <c r="A19" s="426" t="s">
        <v>124</v>
      </c>
      <c r="B19" s="426" t="s">
        <v>156</v>
      </c>
      <c r="C19" s="426" t="s">
        <v>161</v>
      </c>
      <c r="D19" s="427" t="s">
        <v>162</v>
      </c>
    </row>
    <row r="20" spans="1:4">
      <c r="A20" s="426" t="s">
        <v>124</v>
      </c>
      <c r="B20" s="426" t="s">
        <v>156</v>
      </c>
      <c r="C20" s="426" t="s">
        <v>163</v>
      </c>
      <c r="D20" s="427" t="s">
        <v>164</v>
      </c>
    </row>
    <row r="21" spans="1:4">
      <c r="A21" s="426" t="s">
        <v>124</v>
      </c>
      <c r="B21" s="426" t="s">
        <v>165</v>
      </c>
      <c r="C21" s="426" t="s">
        <v>166</v>
      </c>
      <c r="D21" s="427" t="s">
        <v>167</v>
      </c>
    </row>
    <row r="22" spans="1:4">
      <c r="A22" s="426" t="s">
        <v>124</v>
      </c>
      <c r="B22" s="426" t="s">
        <v>165</v>
      </c>
      <c r="C22" s="426" t="s">
        <v>168</v>
      </c>
      <c r="D22" s="427" t="s">
        <v>169</v>
      </c>
    </row>
    <row r="23" spans="1:4">
      <c r="A23" s="426" t="s">
        <v>124</v>
      </c>
      <c r="B23" s="426" t="s">
        <v>165</v>
      </c>
      <c r="C23" s="426" t="s">
        <v>170</v>
      </c>
      <c r="D23" s="427" t="s">
        <v>171</v>
      </c>
    </row>
    <row r="24" spans="1:4">
      <c r="A24" s="426" t="s">
        <v>124</v>
      </c>
      <c r="B24" s="426" t="s">
        <v>165</v>
      </c>
      <c r="C24" s="426" t="s">
        <v>172</v>
      </c>
      <c r="D24" s="427" t="s">
        <v>173</v>
      </c>
    </row>
    <row r="25" spans="1:4">
      <c r="A25" s="426" t="s">
        <v>124</v>
      </c>
      <c r="B25" s="426" t="s">
        <v>174</v>
      </c>
      <c r="C25" s="426" t="s">
        <v>175</v>
      </c>
      <c r="D25" s="427" t="s">
        <v>176</v>
      </c>
    </row>
    <row r="26" spans="1:4">
      <c r="A26" s="426" t="s">
        <v>124</v>
      </c>
      <c r="B26" s="426" t="s">
        <v>174</v>
      </c>
      <c r="C26" s="426" t="s">
        <v>177</v>
      </c>
      <c r="D26" s="427" t="s">
        <v>178</v>
      </c>
    </row>
    <row r="27" spans="1:4">
      <c r="A27" s="426" t="s">
        <v>124</v>
      </c>
      <c r="B27" s="426" t="s">
        <v>174</v>
      </c>
      <c r="C27" s="426" t="s">
        <v>179</v>
      </c>
      <c r="D27" s="427" t="s">
        <v>180</v>
      </c>
    </row>
    <row r="28" spans="1:4">
      <c r="A28" s="426" t="s">
        <v>124</v>
      </c>
      <c r="B28" s="426" t="s">
        <v>174</v>
      </c>
      <c r="C28" s="426" t="s">
        <v>181</v>
      </c>
      <c r="D28" s="427" t="s">
        <v>182</v>
      </c>
    </row>
    <row r="29" spans="1:4">
      <c r="A29" s="426" t="s">
        <v>124</v>
      </c>
      <c r="B29" s="426" t="s">
        <v>183</v>
      </c>
      <c r="C29" s="426" t="s">
        <v>184</v>
      </c>
      <c r="D29" s="427" t="s">
        <v>185</v>
      </c>
    </row>
    <row r="30" spans="1:4">
      <c r="A30" s="426" t="s">
        <v>124</v>
      </c>
      <c r="B30" s="426" t="s">
        <v>183</v>
      </c>
      <c r="C30" s="426" t="s">
        <v>186</v>
      </c>
      <c r="D30" s="427" t="s">
        <v>187</v>
      </c>
    </row>
    <row r="31" spans="1:4">
      <c r="A31" s="426" t="s">
        <v>124</v>
      </c>
      <c r="B31" s="426" t="s">
        <v>183</v>
      </c>
      <c r="C31" s="426" t="s">
        <v>188</v>
      </c>
      <c r="D31" s="427" t="s">
        <v>189</v>
      </c>
    </row>
    <row r="32" spans="1:4">
      <c r="A32" s="426" t="s">
        <v>124</v>
      </c>
      <c r="B32" s="426" t="s">
        <v>183</v>
      </c>
      <c r="C32" s="426" t="s">
        <v>190</v>
      </c>
      <c r="D32" s="427" t="s">
        <v>191</v>
      </c>
    </row>
    <row r="33" spans="1:4">
      <c r="A33" s="426" t="s">
        <v>124</v>
      </c>
      <c r="B33" s="426" t="s">
        <v>192</v>
      </c>
      <c r="C33" s="426" t="s">
        <v>193</v>
      </c>
      <c r="D33" s="427" t="s">
        <v>194</v>
      </c>
    </row>
    <row r="34" spans="1:4">
      <c r="A34" s="426" t="s">
        <v>124</v>
      </c>
      <c r="B34" s="426" t="s">
        <v>192</v>
      </c>
      <c r="C34" s="426" t="s">
        <v>195</v>
      </c>
      <c r="D34" s="427" t="s">
        <v>196</v>
      </c>
    </row>
    <row r="35" spans="1:4">
      <c r="A35" s="426" t="s">
        <v>124</v>
      </c>
      <c r="B35" s="426" t="s">
        <v>192</v>
      </c>
      <c r="C35" s="426" t="s">
        <v>197</v>
      </c>
      <c r="D35" s="427" t="s">
        <v>198</v>
      </c>
    </row>
    <row r="36" spans="1:4">
      <c r="A36" s="426" t="s">
        <v>124</v>
      </c>
      <c r="B36" s="426" t="s">
        <v>192</v>
      </c>
      <c r="C36" s="426" t="s">
        <v>199</v>
      </c>
      <c r="D36" s="427" t="s">
        <v>200</v>
      </c>
    </row>
    <row r="37" spans="1:4">
      <c r="A37" s="426" t="s">
        <v>124</v>
      </c>
      <c r="B37" s="426" t="s">
        <v>192</v>
      </c>
      <c r="C37" s="426" t="s">
        <v>201</v>
      </c>
      <c r="D37" s="427" t="s">
        <v>202</v>
      </c>
    </row>
    <row r="38" spans="1:4">
      <c r="A38" s="426" t="s">
        <v>124</v>
      </c>
      <c r="B38" s="426" t="s">
        <v>192</v>
      </c>
      <c r="C38" s="426" t="s">
        <v>203</v>
      </c>
      <c r="D38" s="427" t="s">
        <v>204</v>
      </c>
    </row>
    <row r="39" spans="1:4">
      <c r="A39" s="426" t="s">
        <v>124</v>
      </c>
      <c r="B39" s="426" t="s">
        <v>192</v>
      </c>
      <c r="C39" s="426" t="s">
        <v>205</v>
      </c>
      <c r="D39" s="427" t="s">
        <v>206</v>
      </c>
    </row>
    <row r="40" spans="1:4">
      <c r="A40" s="426" t="s">
        <v>124</v>
      </c>
      <c r="B40" s="426" t="s">
        <v>192</v>
      </c>
      <c r="C40" s="426" t="s">
        <v>207</v>
      </c>
      <c r="D40" s="427" t="s">
        <v>208</v>
      </c>
    </row>
    <row r="41" spans="1:4">
      <c r="A41" s="426" t="s">
        <v>124</v>
      </c>
      <c r="B41" s="426" t="s">
        <v>192</v>
      </c>
      <c r="C41" s="426" t="s">
        <v>209</v>
      </c>
      <c r="D41" s="427" t="s">
        <v>210</v>
      </c>
    </row>
    <row r="42" spans="1:4">
      <c r="A42" s="426" t="s">
        <v>124</v>
      </c>
      <c r="B42" s="426" t="s">
        <v>192</v>
      </c>
      <c r="C42" s="426" t="s">
        <v>211</v>
      </c>
      <c r="D42" s="427" t="s">
        <v>212</v>
      </c>
    </row>
    <row r="43" spans="1:4">
      <c r="A43" s="426" t="s">
        <v>124</v>
      </c>
      <c r="B43" s="426" t="s">
        <v>192</v>
      </c>
      <c r="C43" s="426" t="s">
        <v>213</v>
      </c>
      <c r="D43" s="427" t="s">
        <v>214</v>
      </c>
    </row>
    <row r="44" spans="1:4">
      <c r="A44" s="426" t="s">
        <v>124</v>
      </c>
      <c r="B44" s="426" t="s">
        <v>192</v>
      </c>
      <c r="C44" s="426" t="s">
        <v>215</v>
      </c>
      <c r="D44" s="427" t="s">
        <v>216</v>
      </c>
    </row>
    <row r="45" spans="1:4">
      <c r="A45" s="426" t="s">
        <v>124</v>
      </c>
      <c r="B45" s="426" t="s">
        <v>192</v>
      </c>
      <c r="C45" s="426" t="s">
        <v>217</v>
      </c>
      <c r="D45" s="427" t="s">
        <v>218</v>
      </c>
    </row>
    <row r="46" spans="1:4">
      <c r="A46" s="426" t="s">
        <v>124</v>
      </c>
      <c r="B46" s="426" t="s">
        <v>219</v>
      </c>
      <c r="C46" s="426" t="s">
        <v>220</v>
      </c>
      <c r="D46" s="427" t="s">
        <v>221</v>
      </c>
    </row>
    <row r="47" spans="1:4">
      <c r="A47" s="426" t="s">
        <v>124</v>
      </c>
      <c r="B47" s="426" t="s">
        <v>222</v>
      </c>
      <c r="C47" s="426" t="s">
        <v>84</v>
      </c>
      <c r="D47" s="427" t="s">
        <v>223</v>
      </c>
    </row>
    <row r="48" spans="1:4">
      <c r="A48" s="426" t="s">
        <v>124</v>
      </c>
      <c r="B48" s="426" t="s">
        <v>222</v>
      </c>
      <c r="C48" s="426" t="s">
        <v>224</v>
      </c>
      <c r="D48" s="427" t="s">
        <v>225</v>
      </c>
    </row>
    <row r="49" spans="1:4">
      <c r="A49" s="426" t="s">
        <v>124</v>
      </c>
      <c r="B49" s="426" t="s">
        <v>222</v>
      </c>
      <c r="C49" s="426" t="s">
        <v>226</v>
      </c>
      <c r="D49" s="427" t="s">
        <v>227</v>
      </c>
    </row>
    <row r="50" spans="1:4">
      <c r="A50" s="426" t="s">
        <v>124</v>
      </c>
      <c r="B50" s="426" t="s">
        <v>222</v>
      </c>
      <c r="C50" s="426" t="s">
        <v>228</v>
      </c>
      <c r="D50" s="427" t="s">
        <v>229</v>
      </c>
    </row>
    <row r="51" spans="1:4">
      <c r="A51" s="426" t="s">
        <v>124</v>
      </c>
      <c r="B51" s="426" t="s">
        <v>222</v>
      </c>
      <c r="C51" s="426" t="s">
        <v>230</v>
      </c>
      <c r="D51" s="427" t="s">
        <v>231</v>
      </c>
    </row>
    <row r="52" spans="1:4">
      <c r="A52" s="426" t="s">
        <v>124</v>
      </c>
      <c r="B52" s="426" t="s">
        <v>222</v>
      </c>
      <c r="C52" s="426" t="s">
        <v>232</v>
      </c>
      <c r="D52" s="427" t="s">
        <v>233</v>
      </c>
    </row>
    <row r="53" spans="1:4">
      <c r="A53" s="426" t="s">
        <v>124</v>
      </c>
      <c r="B53" s="426" t="s">
        <v>222</v>
      </c>
      <c r="C53" s="426" t="s">
        <v>234</v>
      </c>
      <c r="D53" s="427" t="s">
        <v>235</v>
      </c>
    </row>
    <row r="54" spans="1:4">
      <c r="A54" s="426" t="s">
        <v>124</v>
      </c>
      <c r="B54" s="426" t="s">
        <v>222</v>
      </c>
      <c r="C54" s="426" t="s">
        <v>236</v>
      </c>
      <c r="D54" s="427" t="s">
        <v>237</v>
      </c>
    </row>
    <row r="55" spans="1:4">
      <c r="A55" s="426" t="s">
        <v>124</v>
      </c>
      <c r="B55" s="426" t="s">
        <v>222</v>
      </c>
      <c r="C55" s="426" t="s">
        <v>238</v>
      </c>
      <c r="D55" s="427" t="s">
        <v>239</v>
      </c>
    </row>
    <row r="56" spans="1:4">
      <c r="A56" s="426" t="s">
        <v>124</v>
      </c>
      <c r="B56" s="426" t="s">
        <v>222</v>
      </c>
      <c r="C56" s="426" t="s">
        <v>240</v>
      </c>
      <c r="D56" s="427" t="s">
        <v>241</v>
      </c>
    </row>
    <row r="57" spans="1:4">
      <c r="A57" s="426" t="s">
        <v>124</v>
      </c>
      <c r="B57" s="426" t="s">
        <v>222</v>
      </c>
      <c r="C57" s="426" t="s">
        <v>242</v>
      </c>
      <c r="D57" s="427" t="s">
        <v>243</v>
      </c>
    </row>
    <row r="58" spans="1:4">
      <c r="A58" s="426" t="s">
        <v>124</v>
      </c>
      <c r="B58" s="426" t="s">
        <v>244</v>
      </c>
      <c r="C58" s="426" t="s">
        <v>245</v>
      </c>
      <c r="D58" s="427" t="s">
        <v>246</v>
      </c>
    </row>
    <row r="59" spans="1:4">
      <c r="A59" s="426" t="s">
        <v>124</v>
      </c>
      <c r="B59" s="426" t="s">
        <v>244</v>
      </c>
      <c r="C59" s="426" t="s">
        <v>247</v>
      </c>
      <c r="D59" s="427" t="s">
        <v>248</v>
      </c>
    </row>
    <row r="60" spans="1:4">
      <c r="A60" s="426" t="s">
        <v>124</v>
      </c>
      <c r="B60" s="426" t="s">
        <v>244</v>
      </c>
      <c r="C60" s="426" t="s">
        <v>249</v>
      </c>
      <c r="D60" s="427" t="s">
        <v>250</v>
      </c>
    </row>
    <row r="61" spans="1:4">
      <c r="A61" s="426" t="s">
        <v>124</v>
      </c>
      <c r="B61" s="426" t="s">
        <v>251</v>
      </c>
      <c r="C61" s="426" t="s">
        <v>252</v>
      </c>
      <c r="D61" s="427" t="s">
        <v>253</v>
      </c>
    </row>
    <row r="62" spans="1:4">
      <c r="A62" s="426" t="s">
        <v>124</v>
      </c>
      <c r="B62" s="426" t="s">
        <v>251</v>
      </c>
      <c r="C62" s="426" t="s">
        <v>254</v>
      </c>
      <c r="D62" s="427" t="s">
        <v>255</v>
      </c>
    </row>
    <row r="63" spans="1:4">
      <c r="A63" s="426" t="s">
        <v>124</v>
      </c>
      <c r="B63" s="426" t="s">
        <v>256</v>
      </c>
      <c r="C63" s="426" t="s">
        <v>257</v>
      </c>
      <c r="D63" s="427" t="s">
        <v>258</v>
      </c>
    </row>
    <row r="64" spans="1:4">
      <c r="A64" s="426" t="s">
        <v>124</v>
      </c>
      <c r="B64" s="426" t="s">
        <v>256</v>
      </c>
      <c r="C64" s="426" t="s">
        <v>259</v>
      </c>
      <c r="D64" s="427" t="s">
        <v>260</v>
      </c>
    </row>
    <row r="65" spans="1:4">
      <c r="A65" s="426" t="s">
        <v>124</v>
      </c>
      <c r="B65" s="426" t="s">
        <v>256</v>
      </c>
      <c r="C65" s="426" t="s">
        <v>261</v>
      </c>
      <c r="D65" s="427" t="s">
        <v>262</v>
      </c>
    </row>
    <row r="66" spans="1:4">
      <c r="A66" s="426" t="s">
        <v>124</v>
      </c>
      <c r="B66" s="426" t="s">
        <v>263</v>
      </c>
      <c r="C66" s="426" t="s">
        <v>264</v>
      </c>
      <c r="D66" s="427" t="s">
        <v>265</v>
      </c>
    </row>
    <row r="67" spans="1:4">
      <c r="A67" s="426" t="s">
        <v>124</v>
      </c>
      <c r="B67" s="426" t="s">
        <v>263</v>
      </c>
      <c r="C67" s="426" t="s">
        <v>266</v>
      </c>
      <c r="D67" s="427" t="s">
        <v>267</v>
      </c>
    </row>
    <row r="68" spans="1:4">
      <c r="A68" s="426" t="s">
        <v>124</v>
      </c>
      <c r="B68" s="426" t="s">
        <v>263</v>
      </c>
      <c r="C68" s="426" t="s">
        <v>268</v>
      </c>
      <c r="D68" s="427" t="s">
        <v>269</v>
      </c>
    </row>
    <row r="69" spans="1:4">
      <c r="A69" s="426" t="s">
        <v>124</v>
      </c>
      <c r="B69" s="426" t="s">
        <v>263</v>
      </c>
      <c r="C69" s="426" t="s">
        <v>270</v>
      </c>
      <c r="D69" s="427" t="s">
        <v>271</v>
      </c>
    </row>
    <row r="70" spans="1:4">
      <c r="A70" s="426" t="s">
        <v>124</v>
      </c>
      <c r="B70" s="426" t="s">
        <v>272</v>
      </c>
      <c r="C70" s="426" t="s">
        <v>273</v>
      </c>
      <c r="D70" s="427" t="s">
        <v>274</v>
      </c>
    </row>
    <row r="71" spans="1:4">
      <c r="A71" s="426" t="s">
        <v>124</v>
      </c>
      <c r="B71" s="426" t="s">
        <v>275</v>
      </c>
      <c r="C71" s="426" t="s">
        <v>276</v>
      </c>
      <c r="D71" s="427" t="s">
        <v>277</v>
      </c>
    </row>
    <row r="72" spans="1:4">
      <c r="A72" s="426" t="s">
        <v>124</v>
      </c>
      <c r="B72" s="426" t="s">
        <v>275</v>
      </c>
      <c r="C72" s="426" t="s">
        <v>278</v>
      </c>
      <c r="D72" s="427" t="s">
        <v>279</v>
      </c>
    </row>
    <row r="73" spans="1:4">
      <c r="A73" s="426" t="s">
        <v>124</v>
      </c>
      <c r="B73" s="426" t="s">
        <v>49</v>
      </c>
      <c r="C73" s="426" t="s">
        <v>87</v>
      </c>
      <c r="D73" s="427" t="s">
        <v>280</v>
      </c>
    </row>
    <row r="74" spans="1:4">
      <c r="A74" s="426" t="s">
        <v>124</v>
      </c>
      <c r="B74" s="426" t="s">
        <v>49</v>
      </c>
      <c r="C74" s="426" t="s">
        <v>64</v>
      </c>
      <c r="D74" s="427" t="s">
        <v>281</v>
      </c>
    </row>
    <row r="75" spans="1:4">
      <c r="A75" s="426" t="s">
        <v>124</v>
      </c>
      <c r="B75" s="426" t="s">
        <v>49</v>
      </c>
      <c r="C75" s="426" t="s">
        <v>79</v>
      </c>
      <c r="D75" s="427" t="s">
        <v>282</v>
      </c>
    </row>
    <row r="76" spans="1:4">
      <c r="A76" s="426" t="s">
        <v>283</v>
      </c>
      <c r="B76" s="426" t="s">
        <v>284</v>
      </c>
      <c r="C76" s="426" t="s">
        <v>72</v>
      </c>
      <c r="D76" s="427" t="s">
        <v>285</v>
      </c>
    </row>
    <row r="77" spans="1:4">
      <c r="A77" s="426" t="s">
        <v>286</v>
      </c>
      <c r="B77" s="426" t="s">
        <v>287</v>
      </c>
      <c r="C77" s="426" t="s">
        <v>288</v>
      </c>
      <c r="D77" s="427" t="s">
        <v>289</v>
      </c>
    </row>
    <row r="78" spans="1:4">
      <c r="A78" s="426" t="s">
        <v>286</v>
      </c>
      <c r="B78" s="426" t="s">
        <v>287</v>
      </c>
      <c r="C78" s="426" t="s">
        <v>290</v>
      </c>
      <c r="D78" s="427" t="s">
        <v>291</v>
      </c>
    </row>
    <row r="79" spans="1:4">
      <c r="A79" s="426" t="s">
        <v>286</v>
      </c>
      <c r="B79" s="426" t="s">
        <v>287</v>
      </c>
      <c r="C79" s="426" t="s">
        <v>292</v>
      </c>
      <c r="D79" s="427" t="s">
        <v>293</v>
      </c>
    </row>
    <row r="80" spans="1:4">
      <c r="A80" s="426" t="s">
        <v>286</v>
      </c>
      <c r="B80" s="426" t="s">
        <v>287</v>
      </c>
      <c r="C80" s="426" t="s">
        <v>294</v>
      </c>
      <c r="D80" s="427" t="s">
        <v>295</v>
      </c>
    </row>
    <row r="81" spans="1:4">
      <c r="A81" s="426" t="s">
        <v>286</v>
      </c>
      <c r="B81" s="426" t="s">
        <v>287</v>
      </c>
      <c r="C81" s="426" t="s">
        <v>296</v>
      </c>
      <c r="D81" s="427" t="s">
        <v>297</v>
      </c>
    </row>
    <row r="82" spans="1:4">
      <c r="A82" s="426" t="s">
        <v>298</v>
      </c>
      <c r="B82" s="426" t="s">
        <v>299</v>
      </c>
      <c r="C82" s="426" t="s">
        <v>300</v>
      </c>
      <c r="D82" s="427" t="s">
        <v>301</v>
      </c>
    </row>
    <row r="83" spans="1:4">
      <c r="A83" s="426" t="s">
        <v>298</v>
      </c>
      <c r="B83" s="426" t="s">
        <v>299</v>
      </c>
      <c r="C83" s="426" t="s">
        <v>302</v>
      </c>
      <c r="D83" s="427" t="s">
        <v>303</v>
      </c>
    </row>
    <row r="84" spans="1:4">
      <c r="A84" s="426" t="s">
        <v>298</v>
      </c>
      <c r="B84" s="426" t="s">
        <v>299</v>
      </c>
      <c r="C84" s="426" t="s">
        <v>304</v>
      </c>
      <c r="D84" s="427" t="s">
        <v>305</v>
      </c>
    </row>
    <row r="85" spans="1:4">
      <c r="A85" s="426" t="s">
        <v>298</v>
      </c>
      <c r="B85" s="426" t="s">
        <v>306</v>
      </c>
      <c r="C85" s="426" t="s">
        <v>307</v>
      </c>
      <c r="D85" s="427" t="s">
        <v>308</v>
      </c>
    </row>
    <row r="86" spans="1:4">
      <c r="A86" s="426" t="s">
        <v>298</v>
      </c>
      <c r="B86" s="426" t="s">
        <v>306</v>
      </c>
      <c r="C86" s="426" t="s">
        <v>309</v>
      </c>
      <c r="D86" s="427" t="s">
        <v>310</v>
      </c>
    </row>
    <row r="87" spans="1:4">
      <c r="A87" s="426" t="s">
        <v>298</v>
      </c>
      <c r="B87" s="426" t="s">
        <v>306</v>
      </c>
      <c r="C87" s="426" t="s">
        <v>311</v>
      </c>
      <c r="D87" s="427" t="s">
        <v>312</v>
      </c>
    </row>
    <row r="88" spans="1:4">
      <c r="A88" s="426" t="s">
        <v>313</v>
      </c>
      <c r="B88" s="426" t="s">
        <v>314</v>
      </c>
      <c r="C88" s="426" t="s">
        <v>315</v>
      </c>
      <c r="D88" s="427" t="s">
        <v>316</v>
      </c>
    </row>
    <row r="89" spans="1:4">
      <c r="A89" s="426" t="s">
        <v>313</v>
      </c>
      <c r="B89" s="426" t="s">
        <v>317</v>
      </c>
      <c r="C89" s="426" t="s">
        <v>318</v>
      </c>
      <c r="D89" s="427" t="s">
        <v>319</v>
      </c>
    </row>
    <row r="90" spans="1:4">
      <c r="A90" s="426" t="s">
        <v>320</v>
      </c>
      <c r="B90" s="426" t="s">
        <v>321</v>
      </c>
      <c r="C90" s="426" t="s">
        <v>322</v>
      </c>
      <c r="D90" s="427" t="s">
        <v>323</v>
      </c>
    </row>
    <row r="91" spans="1:4">
      <c r="A91" s="426" t="s">
        <v>320</v>
      </c>
      <c r="B91" s="426" t="s">
        <v>321</v>
      </c>
      <c r="C91" s="426" t="s">
        <v>324</v>
      </c>
      <c r="D91" s="427" t="s">
        <v>325</v>
      </c>
    </row>
    <row r="92" spans="1:4">
      <c r="A92" s="426" t="s">
        <v>320</v>
      </c>
      <c r="B92" s="426" t="s">
        <v>321</v>
      </c>
      <c r="C92" s="426" t="s">
        <v>326</v>
      </c>
      <c r="D92" s="427" t="s">
        <v>327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2018-11-18T17:39:08Z</dcterms:modified>
  <cp:revision>0</cp:revision>
</cp:coreProperties>
</file>