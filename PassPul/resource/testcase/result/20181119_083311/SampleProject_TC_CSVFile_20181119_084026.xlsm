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 updateLinks="never"/>
  <mc:AlternateContent>
    <mc:Choice Requires="x15">
      <x15ac:absPath xmlns:x15ac="http://schemas.microsoft.com/office/spreadsheetml/2010/11/ac" url="D:\7P7\Work\Framework\PassPulFramework\PassPul\resource\testcase\"/>
    </mc:Choice>
  </mc:AlternateContent>
  <bookViews>
    <workbookView activeTab="1" tabRatio="500" windowHeight="8010" windowWidth="14805" xWindow="240" yWindow="60"/>
  </bookViews>
  <sheets>
    <sheet name="Overview" r:id="rId1" sheetId="1"/>
    <sheet name="TC" r:id="rId2" sheetId="2"/>
    <sheet name="Extension" r:id="rId3" sheetId="3"/>
    <sheet name="Test Report" r:id="rId4" sheetId="4"/>
    <sheet name="Keyword" r:id="rId5" sheetId="5"/>
  </sheets>
  <definedNames>
    <definedName hidden="1" localSheetId="1" name="_xlnm._FilterDatabase">TC!$A$1:$Y$12</definedName>
  </definedNames>
  <calcPr calcId="162913"/>
  <extLst>
    <ext uri="smNativeData">
      <pm:revision xmlns:pm="smNativeData" day="1542562629" rev="123" revOS="4" val="938"/>
      <pm:docPrefs xmlns:pm="smNativeData" autoChart="1" compatTextArt="1" finalRounding="1" fixedDigits="0" id="1542562629" printArea="currentSheet" recalcOnCopy="1" recalcOnPrint="1" showFrameBounds="1" showNotice="1" tab="567" useDefinedPrintRange="1"/>
      <pm:compatibility xmlns:pm="smNativeData" id="1542562629" overlapCells="1"/>
      <pm:defCurrency xmlns:pm="smNativeData" id="1542562629"/>
    </ext>
  </extLst>
</workbook>
</file>

<file path=xl/calcChain.xml><?xml version="1.0" encoding="utf-8"?>
<calcChain xmlns="http://schemas.openxmlformats.org/spreadsheetml/2006/main">
  <c i="2" l="1" r="K11"/>
  <c i="2" r="K10"/>
  <c i="2" r="K9"/>
  <c i="2" r="K8"/>
  <c i="2" r="K7"/>
  <c i="2" r="K6"/>
  <c i="2" r="K5"/>
  <c i="2" r="K4"/>
  <c i="2" r="K3"/>
  <c i="2" r="K2"/>
</calcChain>
</file>

<file path=xl/sharedStrings.xml><?xml version="1.0" encoding="utf-8"?>
<sst xmlns="http://schemas.openxmlformats.org/spreadsheetml/2006/main" count="735" uniqueCount="333">
  <si>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</si>
  <si>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</si>
  <si>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</si>
  <si>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</si>
  <si>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</si>
  <si>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</si>
  <si>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</si>
  <si>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</si>
  <si>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</si>
  <si>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</si>
  <si>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</si>
  <si>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</si>
  <si>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</si>
  <si>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</si>
  <si>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</si>
  <si>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</si>
  <si>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</si>
  <si>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</si>
  <si>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</si>
  <si>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</si>
  <si>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</si>
  <si>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</si>
  <si>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</si>
  <si>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</si>
  <si>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</si>
  <si>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</si>
  <si>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</si>
  <si>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</si>
  <si>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</si>
  <si>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</si>
  <si>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</si>
  <si>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</si>
  <si>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</si>
  <si>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</si>
  <si>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</si>
  <si>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</si>
  <si>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</si>
  <si>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</si>
  <si>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</si>
  <si>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</si>
  <si>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</si>
  <si>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</si>
  <si>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</si>
  <si>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</si>
  <si>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</si>
  <si>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</si>
  <si>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</si>
  <si>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</si>
  <si>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</si>
  <si>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CSV File Demo</t>
  </si>
  <si>
    <t>TC_01</t>
  </si>
  <si>
    <t>Go to [Table Data Download] Screen successfully</t>
  </si>
  <si>
    <t>Medium</t>
  </si>
  <si>
    <t>Y</t>
  </si>
  <si>
    <t/>
  </si>
  <si>
    <t>Go to Demo Screen</t>
  </si>
  <si>
    <t>GO TO URL</t>
  </si>
  <si>
    <t>SampleProject_TableDataDownload_Screen</t>
  </si>
  <si>
    <t>TC_02</t>
  </si>
  <si>
    <t>Verify file is downloaded successfully</t>
  </si>
  <si>
    <t>VERIFY DOWNLOADED FILE</t>
  </si>
  <si>
    <t>SampleProject_TableDataDownload_CSV_Button</t>
  </si>
  <si>
    <t>DownloadFolder</t>
  </si>
  <si>
    <t>csv</t>
  </si>
  <si>
    <t>TC_03</t>
  </si>
  <si>
    <t>Verify CSV data with specified value list</t>
  </si>
  <si>
    <t>VERIFY CSV DATA SPECIFIED LIST</t>
  </si>
  <si>
    <t>DOWNLOADED FILE</t>
  </si>
  <si>
    <t>TC_04</t>
  </si>
  <si>
    <t>Verify CSV data with the result of executing SQL Statement</t>
  </si>
  <si>
    <t>VERIFY CSV DATA DB</t>
  </si>
  <si>
    <t>SampleProject_GetTableData</t>
  </si>
  <si>
    <t>TC_05</t>
  </si>
  <si>
    <t>Verify CSV data with the values getting from data table on UI</t>
  </si>
  <si>
    <t>VERIFY CSV DATA UI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</si>
  <si>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</si>
  <si>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</si>
  <si>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</si>
  <si>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</si>
  <si>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</si>
  <si>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</si>
  <si>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</si>
  <si>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</si>
  <si>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Expected data</t>
  </si>
  <si>
    <t>Name</t>
  </si>
  <si>
    <t>Position</t>
  </si>
  <si>
    <t>Office</t>
  </si>
  <si>
    <t>Age</t>
  </si>
  <si>
    <t>Start date</t>
  </si>
  <si>
    <t>Salary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</si>
  <si>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</si>
  <si>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</si>
  <si>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</si>
  <si>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</si>
  <si>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</si>
  <si>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</si>
  <si>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</si>
  <si>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SampleProject_DataTable_tBody</t>
  </si>
  <si>
    <t>SampleProject_DataTable_Next_Button</t>
  </si>
  <si>
    <t>SampleProject_DataTable_Stop_Condition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</si>
  <si>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</si>
  <si>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</si>
  <si>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</si>
  <si>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</si>
  <si>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</si>
  <si>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</si>
  <si>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</si>
  <si>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</si>
  <si>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</si>
  <si>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</si>
  <si>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</si>
  <si>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</si>
  <si>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</si>
  <si>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</si>
  <si>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</si>
  <si>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</si>
  <si>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</si>
  <si>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</si>
  <si>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</si>
  <si>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</si>
  <si>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</si>
  <si>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</si>
  <si>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</si>
  <si>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</si>
  <si>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</si>
  <si>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</si>
  <si>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</si>
  <si>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</si>
  <si>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</si>
  <si>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</si>
  <si>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</si>
  <si>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</si>
  <si>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</si>
  <si>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</si>
  <si>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</si>
  <si>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</si>
  <si>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</si>
  <si>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</si>
  <si>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</si>
  <si>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</si>
  <si>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</si>
  <si>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</si>
  <si>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</si>
  <si>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</si>
  <si>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</si>
  <si>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</si>
  <si>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</si>
  <si>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</si>
  <si>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</si>
  <si>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</si>
  <si>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</si>
  <si>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</si>
  <si>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</si>
  <si>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</si>
  <si>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</si>
  <si>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</si>
  <si>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</si>
  <si>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</si>
  <si>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</si>
  <si>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CHECKBOX WS</t>
  </si>
  <si>
    <t>Radio Button</t>
  </si>
  <si>
    <t>VERIFY RADIO BUTTON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</si>
  <si>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</si>
  <si>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</si>
  <si>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RADIO BUTTON WS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</si>
  <si>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</si>
  <si>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</si>
  <si>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</si>
  <si>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</si>
  <si>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</si>
  <si>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</si>
  <si>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</si>
  <si>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</si>
  <si>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</si>
  <si>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</si>
  <si>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DROPDOWN BY VALUE</t>
  </si>
  <si>
    <t>SELECT DROPDOWN BY INDEX</t>
  </si>
  <si>
    <t>SELECT FIRST OPTION DROPDOWN</t>
  </si>
  <si>
    <t>SELECT LAST OPTION DROPDOWN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</si>
  <si>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</si>
  <si>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</si>
  <si>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</si>
  <si>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</si>
  <si>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</si>
  <si>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</si>
  <si>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</si>
  <si>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</si>
  <si>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</si>
  <si>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</si>
  <si>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</si>
  <si>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</si>
  <si>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</si>
  <si>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</si>
  <si>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</si>
  <si>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</si>
  <si>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</si>
  <si>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</si>
  <si>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</si>
  <si>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</si>
  <si>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</si>
  <si>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</si>
  <si>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</si>
  <si>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</si>
  <si>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</si>
  <si>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</si>
  <si>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</si>
  <si>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</si>
  <si>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</si>
  <si>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</si>
  <si>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</si>
  <si>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</si>
  <si>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</si>
  <si>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</si>
  <si>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</si>
  <si>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</si>
  <si>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</si>
  <si>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</si>
  <si>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</si>
  <si>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</si>
  <si>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</si>
  <si>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</si>
  <si>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</si>
  <si>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</si>
  <si>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</si>
  <si>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</si>
  <si>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</si>
  <si>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</si>
  <si>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</si>
  <si>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</si>
  <si>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</si>
  <si>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</si>
  <si>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</si>
  <si>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</si>
  <si>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</si>
  <si>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</si>
  <si>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</si>
  <si>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</si>
  <si>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</si>
  <si>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</si>
  <si>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</si>
  <si>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</si>
  <si>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</si>
  <si>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</si>
  <si>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</si>
  <si>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</si>
  <si>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</si>
  <si>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</si>
  <si>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</si>
  <si>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</si>
  <si>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</si>
  <si>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</si>
  <si>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</si>
  <si>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</si>
  <si>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</si>
  <si>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</si>
  <si>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</si>
  <si>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DATA TABLE WS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</si>
  <si>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</si>
  <si>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</si>
  <si>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</si>
  <si>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</si>
  <si>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</si>
  <si>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</si>
  <si>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</si>
  <si>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</si>
  <si>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</si>
  <si>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</si>
  <si>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</si>
  <si>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</si>
  <si>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</si>
  <si>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</si>
  <si>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</si>
  <si>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</si>
  <si>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</si>
  <si>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</si>
  <si>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</si>
  <si>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</si>
  <si>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</si>
  <si>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</si>
  <si>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CSV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</si>
  <si>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</si>
  <si>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</si>
  <si>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</si>
  <si>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</si>
  <si>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</si>
  <si>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</si>
  <si>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</si>
  <si>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</si>
  <si>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</si>
  <si>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</si>
  <si>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</si>
  <si>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</si>
  <si>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</si>
  <si>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</si>
  <si>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</si>
  <si>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</si>
  <si>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</si>
  <si>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Uncheck a check-box
- Locator(*): Locator of the element to be unchecked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</si>
  <si>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</si>
  <si>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checked - Default is [false]
- Value 3(*): The value will be compared to [Value 1] / [Value 2] based on the status of check-box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</si>
  <si>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when check-box is NOT checked - Default is [false]
- Value 3(*): The SQL Statement to be executed (defined in [sqlStatement.properties]). The result of executing SQL Statement will be compared to [Value 1] / [Value 2] based on the status of check-box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</si>
  <si>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[true]
- Value 2: The returned value when check-box is NOT checked - Default is [false]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</si>
  <si>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Radio-Button is NOT checked - Default is [false]
- Value 3(*): The value will be compared to [Value 1] / [Value 2] based on the status of Radio-Button</t>
  </si>
  <si>
    <t>VERIFY RADIO BUTTON SPECIFIED LIST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</si>
  <si>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 value when Radio-Button is NOT checked - Default is [false]
- Value 3(*): The SQL Statement to be executed (defined in [sqlStatement.properties]). The result of executing SQL Statement will be compared to [Value 1] / [Value 2] based on the status of Radio-Button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</si>
  <si>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[true]
- Value 2: The returned value when Radio-Button is NOT checked - Default is [false]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</si>
  <si>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</si>
  <si>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</si>
  <si>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</si>
  <si>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</si>
  <si>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</si>
  <si>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Wait until JQUERY AJAX request is finished
- Value 1: Maximum of waiting time in seconds. Default is 60(s)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</si>
  <si>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</si>
  <si>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</si>
  <si>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</si>
  <si>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</si>
  <si>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</si>
  <si>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</si>
  <si>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</si>
  <si>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</si>
  <si>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</si>
  <si>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1</t>
  </si>
  <si>
    <t>30</t>
  </si>
  <si>
    <t>6</t>
  </si>
  <si>
    <t>2</t>
  </si>
  <si>
    <t>PASS</t>
  </si>
  <si>
    <t>FAIL</t>
  </si>
  <si>
    <t>ACTUAL: 
Airi Satou
Accountant
Tokyo
33
2008/11/28
$162,700
Angelica Ramos
Chief Executive Officer (CEO)
London
47
2009/10/09
$1,200,000
Ashton Cox
Junior Technical Author
San Francisco
66
2009/01/12
$86,000
Bradley Greer
Software Engineer
London
41
2012/10/13
$132,000
Brenden Wagner
Software Engineer
San Francisco
28
2011/06/07
$206,850
Brielle Williamson
Integration Specialist
New York
61
2012/12/02
$372,000
Caesar Vance
Pre-Sales Support
New York
21
2011/12/12
$106,450
Cedric Kelly
Senior Javascript Developer
Edinburgh
22
2012/03/29
$433,060
Charde Marshall
Regional Director
San Francisco
36
2008/10/16
$470,600
Colleen Hurst
Javascript Developer
San Francisco
39
2009/09/15
$205,500
Dai Rios
Personnel Lead
Edinburgh
35
2012/09/26
$217,500
Doris Wilder
Sales Assistant
Sidney
23
2010/09/20
$85,600
Fiona Green
Chief Operating Officer (COO)
San Francisco
48
2010/03/11
$850,000
Garrett Winters
Accountant
Tokyo
63
2011/07/25
$170,750
Gavin Joyce
Developer
Edinburgh
42
2010/12/22
$92,575
Gloria Little
Systems Administrator
New York
59
2009/04/10
$237,500
Haley Kennedy
Senior Marketing Designer
London
43
2012/12/18
$313,500
Herrod Chandler
Sales Assistant
San Francisco
59
2012/08/06
$137,500
Jena Gaines
Office Manager
London
30
2008/12/19
$90,560
Jenette Caldwell
Development Lead
New York
30
2011/09/03
$345,000
Jennifer Chang
Regional Director
Singapore
28
2010/11/14
$357,650
Michael Silva
Marketing Designer
London
66
2012/11/27
$198,500
Michelle House
Integration Specialist
Sidney
37
2011/06/02
$95,400
Paul Byrd
Chief Financial Officer (CFO)
New York
64
2010/06/09
$725,000
Quinn Flynn
Support Lead
Edinburgh
22
2013/03/03
$342,000
Rhona Davidson
Integration Specialist
Tokyo
55
2010/10/14
$327,900
Shou Itou
Regional Marketing
Tokyo
20
2011/08/14
$163,000
Sonya Frost
Software Engineer
Edinburgh
23
2008/12/13
$103,600
Tatyana Fitzpatrick
Regional Director
London
19
2010/03/17
$385,750
Tiger Nixon
System Architect
Edinburgh
61
2011/04/25
$320,800
Yuri Berry
Chief Marketing Officer (CMO)
New York
40
2009/06/25
$675,000
EXPECTED: 
Airi Satou
Accountant
Tokyo
33
2008/11/28
$162,700</t>
  </si>
  <si>
    <t>https://www.dropbox.com/s/3qith7qusjlovr5/20181119_084105.png?dl=0</t>
  </si>
  <si>
    <t>Grand Total</t>
  </si>
  <si>
    <t>11/19/2018 08:40:26</t>
  </si>
  <si>
    <t>11/19/2018 08:41:29</t>
  </si>
  <si>
    <t>1 min, 2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</si>
</sst>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0.0"/>
    <numFmt numFmtId="173" formatCode="m/d/yyyy;@"/>
  </numFmts>
  <fonts count="121"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FA7D00"/>
      <name val="Calibri"/>
      <family val="2"/>
    </font>
    <font>
      <b/>
      <sz val="20"/>
      <color rgb="FF000000"/>
      <name val="Aharoni"/>
    </font>
    <font>
      <b/>
      <sz val="11"/>
      <color rgb="FF000000"/>
      <name val="Calibri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1"/>
      <color rgb="FFE26B0A"/>
      <name val="Calibri"/>
      <family val="2"/>
    </font>
    <font>
      <sz val="11"/>
      <color rgb="FF000000"/>
      <name val="ＭＳ Ｐゴシック"/>
    </font>
    <font>
      <sz val="10"/>
      <color rgb="FF000000"/>
      <name val="Tahoma"/>
      <family val="2"/>
    </font>
    <font>
      <b/>
      <sz val="10"/>
      <color rgb="FF000000"/>
      <name val="Arial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9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  <fill>
      <patternFill patternType="solid">
        <fgColor rgb="FF8064A2"/>
        <bgColor rgb="FFFFFFFF"/>
      </patternFill>
    </fill>
    <fill>
      <patternFill patternType="solid">
        <fgColor rgb="FF00B050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theme="3" tint="0.39997558519241921"/>
        <bgColor indexed="64"/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5">
    <xf borderId="0" fillId="0" fontId="0" numFmtId="0"/>
    <xf borderId="0" fillId="0" fontId="14" numFmtId="0"/>
    <xf borderId="0" fillId="0" fontId="14" numFmtId="0"/>
    <xf applyAlignment="0" applyNumberFormat="0" applyProtection="0" borderId="1" fillId="2" fontId="4" numFmtId="0"/>
    <xf applyAlignment="0" applyBorder="0" applyNumberFormat="0" applyProtection="0" borderId="2" fillId="3" fontId="3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" numFmtId="0"/>
    <xf borderId="0" fillId="0" fontId="14" numFmtId="0"/>
    <xf borderId="0" fillId="0" fontId="10" numFmtId="0"/>
    <xf borderId="0" fillId="0" fontId="14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" numFmtId="0"/>
    <xf borderId="0" fillId="0" fontId="14" numFmtId="0"/>
    <xf borderId="0" fillId="0" fontId="10" numFmtId="0"/>
    <xf borderId="0" fillId="0" fontId="14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</cellStyleXfs>
  <cellXfs count="240">
    <xf borderId="0" fillId="0" fontId="0" numFmtId="0" xfId="0"/>
    <xf borderId="0" fillId="0" fontId="14" numFmtId="0" xfId="2"/>
    <xf borderId="0" fillId="0" fontId="1" numFmtId="0" xfId="7"/>
    <xf borderId="0" fillId="0" fontId="1" numFmtId="0" xfId="9"/>
    <xf borderId="0" fillId="0" fontId="14" numFmtId="0" xfId="361"/>
    <xf borderId="0" fillId="0" fontId="14" numFmtId="0" xfId="363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73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9" fontId="2" numFmtId="0" xfId="0"/>
    <xf applyAlignment="1" applyBorder="1" applyFill="1" applyFont="1" borderId="9" fillId="9" fontId="2" numFmtId="0" xfId="4">
      <alignment vertical="center"/>
    </xf>
    <xf applyBorder="1" applyFill="1" applyFont="1" borderId="9" fillId="9" fontId="2" numFmtId="0" xfId="4"/>
    <xf applyAlignment="1" applyBorder="1" applyFill="1" applyFont="1" borderId="9" fillId="9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72" xfId="5">
      <alignment horizontal="center" vertical="top" wrapText="1"/>
    </xf>
    <xf applyBorder="1" applyFill="1" borderId="10" fillId="10" fontId="1" numFmtId="0" xfId="9"/>
    <xf applyAlignment="1" applyBorder="1" applyFill="1" borderId="10" fillId="10" fontId="1" numFmtId="0" xfId="9">
      <alignment horizontal="center"/>
    </xf>
    <xf applyAlignment="1" applyBorder="1" applyFill="1" applyNumberFormat="1" borderId="10" fillId="10" fontId="1" numFmtId="10" xfId="9">
      <alignment horizontal="center"/>
    </xf>
    <xf applyAlignment="1" applyBorder="1" applyFill="1" applyNumberFormat="1" borderId="10" fillId="10" fontId="1" numFmtId="3" xfId="9">
      <alignment horizontal="center"/>
    </xf>
    <xf applyBorder="1" applyFill="1" applyFont="1" borderId="10" fillId="10" fontId="12" numFmtId="0" xfId="9"/>
    <xf applyAlignment="1" applyBorder="1" applyFill="1" borderId="10" fillId="10" fontId="1" numFmtId="0" xfId="9">
      <alignment horizontal="left"/>
    </xf>
    <xf applyBorder="1" applyFill="1" applyNumberFormat="1" borderId="11" fillId="11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9" fontId="2" numFmtId="0" xfId="4">
      <alignment horizontal="left" vertical="center" wrapText="1"/>
    </xf>
    <xf applyBorder="1" applyFill="1" applyFont="1" borderId="13" fillId="12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1" fontId="1" numFmtId="3" xfId="297">
      <alignment horizontal="center"/>
    </xf>
    <xf applyBorder="1" applyFill="1" applyFont="1" borderId="13" fillId="12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3" fontId="2" numFmtId="0" xfId="0">
      <alignment vertical="center"/>
    </xf>
    <xf applyBorder="1" borderId="8" fillId="0" fontId="14" numFmtId="0" xfId="363"/>
    <xf applyBorder="1" applyFont="1" borderId="8" fillId="0" fontId="6" numFmtId="0" xfId="362"/>
    <xf applyAlignment="1" applyBorder="1" borderId="8" fillId="0" fontId="14" numFmtId="0" xfId="364">
      <alignment horizontal="left" vertical="center" wrapText="1"/>
    </xf>
    <xf applyAlignment="1" applyBorder="1" borderId="8" fillId="0" fontId="14" numFmtId="0" xfId="364">
      <alignment horizontal="left" vertical="center"/>
    </xf>
    <xf applyBorder="1" applyFill="1" applyFont="1" borderId="3" fillId="4" fontId="3" numFmtId="0" xfId="363"/>
    <xf applyAlignment="1" applyBorder="1" borderId="8" fillId="0" fontId="14" numFmtId="0" xfId="363">
      <alignment wrapText="1"/>
    </xf>
    <xf applyBorder="1" applyFill="1" applyFont="1" borderId="9" fillId="9" fontId="2" numFmtId="0" xfId="363"/>
    <xf applyAlignment="1" applyBorder="1" borderId="8" fillId="0" fontId="0" numFmtId="0" xfId="0">
      <alignment horizontal="left" vertical="center"/>
    </xf>
    <xf applyBorder="1" applyFill="1" applyFont="1" borderId="15" fillId="14" fontId="2" numFmtId="0" xfId="363"/>
    <xf applyAlignment="1" applyFont="1" borderId="0" fillId="0" fontId="5" numFmtId="0" xfId="7">
      <alignment horizontal="center"/>
    </xf>
    <xf applyAlignment="1" applyBorder="1" applyFill="1" applyFont="1" borderId="9" fillId="9" fontId="2" numFmtId="0" xfId="4">
      <alignment horizontal="left"/>
    </xf>
    <xf applyAlignment="1" applyBorder="1" applyFill="1" applyFont="1" borderId="16" fillId="15" fontId="2" numFmtId="0" xfId="4">
      <alignment horizontal="left"/>
    </xf>
    <xf applyAlignment="1" applyBorder="1" applyFill="1" applyFont="1" borderId="17" fillId="16" fontId="2" numFmtId="0" xfId="4">
      <alignment horizontal="left"/>
    </xf>
    <xf applyAlignment="1" applyBorder="1" applyFill="1" applyFont="1" borderId="18" fillId="17" fontId="2" numFmtId="0" xfId="361">
      <alignment horizontal="left"/>
    </xf>
    <xf applyAlignment="1" applyBorder="1" applyFill="1" applyFont="1" borderId="19" fillId="18" fontId="2" numFmtId="0" xfId="361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6" fillId="15" fontId="2" numFmtId="0" xfId="0">
      <alignment horizontal="left" vertical="center"/>
    </xf>
    <xf applyAlignment="1" applyBorder="1" applyFill="1" applyFont="1" borderId="20" fillId="19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21" fillId="0" fontId="0" numFmtId="0" xfId="0">
      <alignment horizontal="left" vertical="center"/>
    </xf>
    <xf applyAlignment="1" applyBorder="1" borderId="21" fillId="0" fontId="0" numFmtId="0" xfId="0">
      <alignment horizontal="left" vertical="center" wrapText="1"/>
    </xf>
    <xf applyAlignment="1" applyBorder="1" applyFill="1" applyFont="1" borderId="21" fillId="20" fontId="15" numFmtId="0" xfId="4">
      <alignment horizontal="left" vertical="center" wrapText="1"/>
    </xf>
    <xf numFmtId="0" fontId="16" fillId="22" borderId="0" xfId="0" applyFill="true" applyFont="true"/>
    <xf numFmtId="0" fontId="17" fillId="24" borderId="0" xfId="0" applyFill="true" applyFont="true"/>
    <xf numFmtId="0" fontId="1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9" fillId="28" borderId="25" xfId="0" applyFill="true" applyFont="true" applyBorder="true"/>
    <xf numFmtId="0" fontId="0" fillId="0" borderId="25" xfId="0" applyBorder="true"/>
    <xf numFmtId="10" fontId="20" fillId="28" borderId="25" xfId="0" applyFill="true" applyFont="true" applyNumberFormat="true" applyBorder="true"/>
    <xf numFmtId="0" fontId="21" fillId="22" borderId="0" xfId="0" applyFill="true" applyFont="true"/>
    <xf numFmtId="0" fontId="22" fillId="24" borderId="0" xfId="0" applyFill="true" applyFont="true"/>
    <xf numFmtId="0" fontId="2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4" fillId="28" borderId="25" xfId="0" applyFill="true" applyFont="true" applyBorder="true"/>
    <xf numFmtId="0" fontId="0" fillId="0" borderId="25" xfId="0" applyBorder="true"/>
    <xf numFmtId="10" fontId="25" fillId="28" borderId="25" xfId="0" applyFill="true" applyFont="true" applyNumberFormat="true" applyBorder="true"/>
    <xf numFmtId="0" fontId="26" fillId="22" borderId="0" xfId="0" applyFill="true" applyFont="true"/>
    <xf numFmtId="0" fontId="27" fillId="24" borderId="0" xfId="0" applyFill="true" applyFont="true"/>
    <xf numFmtId="0" fontId="2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9" fillId="28" borderId="25" xfId="0" applyFill="true" applyFont="true" applyBorder="true"/>
    <xf numFmtId="0" fontId="0" fillId="0" borderId="25" xfId="0" applyBorder="true"/>
    <xf numFmtId="10" fontId="30" fillId="28" borderId="25" xfId="0" applyFill="true" applyFont="true" applyNumberFormat="true" applyBorder="true"/>
    <xf numFmtId="0" fontId="31" fillId="22" borderId="0" xfId="0" applyFill="true" applyFont="true"/>
    <xf numFmtId="0" fontId="32" fillId="24" borderId="0" xfId="0" applyFill="true" applyFont="true"/>
    <xf numFmtId="0" fontId="3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4" fillId="28" borderId="25" xfId="0" applyFill="true" applyFont="true" applyBorder="true"/>
    <xf numFmtId="0" fontId="0" fillId="0" borderId="25" xfId="0" applyBorder="true"/>
    <xf numFmtId="10" fontId="35" fillId="28" borderId="25" xfId="0" applyFill="true" applyFont="true" applyNumberFormat="true" applyBorder="true"/>
    <xf numFmtId="0" fontId="36" fillId="22" borderId="0" xfId="0" applyFill="true" applyFont="true"/>
    <xf numFmtId="0" fontId="37" fillId="24" borderId="0" xfId="0" applyFill="true" applyFont="true"/>
    <xf numFmtId="0" fontId="3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9" fillId="28" borderId="25" xfId="0" applyFill="true" applyFont="true" applyBorder="true"/>
    <xf numFmtId="0" fontId="0" fillId="0" borderId="25" xfId="0" applyBorder="true"/>
    <xf numFmtId="10" fontId="40" fillId="28" borderId="25" xfId="0" applyFill="true" applyFont="true" applyNumberFormat="true" applyBorder="true"/>
    <xf numFmtId="0" fontId="41" fillId="22" borderId="0" xfId="0" applyFill="true" applyFont="true"/>
    <xf numFmtId="0" fontId="42" fillId="24" borderId="0" xfId="0" applyFill="true" applyFont="true"/>
    <xf numFmtId="0" fontId="4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4" fillId="28" borderId="25" xfId="0" applyFill="true" applyFont="true" applyBorder="true"/>
    <xf numFmtId="0" fontId="0" fillId="0" borderId="25" xfId="0" applyBorder="true"/>
    <xf numFmtId="10" fontId="45" fillId="28" borderId="25" xfId="0" applyFill="true" applyFont="true" applyNumberFormat="true" applyBorder="true"/>
    <xf numFmtId="0" fontId="46" fillId="22" borderId="0" xfId="0" applyFill="true" applyFont="true"/>
    <xf numFmtId="0" fontId="47" fillId="24" borderId="0" xfId="0" applyFill="true" applyFont="true"/>
    <xf numFmtId="0" fontId="4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9" fillId="28" borderId="25" xfId="0" applyFill="true" applyFont="true" applyBorder="true"/>
    <xf numFmtId="0" fontId="0" fillId="0" borderId="25" xfId="0" applyBorder="true"/>
    <xf numFmtId="10" fontId="50" fillId="28" borderId="25" xfId="0" applyFill="true" applyFont="true" applyNumberFormat="true" applyBorder="true"/>
    <xf numFmtId="0" fontId="51" fillId="22" borderId="0" xfId="0" applyFill="true" applyFont="true"/>
    <xf numFmtId="0" fontId="52" fillId="24" borderId="0" xfId="0" applyFill="true" applyFont="true"/>
    <xf numFmtId="0" fontId="5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4" fillId="28" borderId="25" xfId="0" applyFill="true" applyFont="true" applyBorder="true"/>
    <xf numFmtId="0" fontId="0" fillId="0" borderId="25" xfId="0" applyBorder="true"/>
    <xf numFmtId="10" fontId="55" fillId="28" borderId="25" xfId="0" applyFill="true" applyFont="true" applyNumberFormat="true" applyBorder="true"/>
    <xf numFmtId="0" fontId="56" fillId="22" borderId="0" xfId="0" applyFill="true" applyFont="true"/>
    <xf numFmtId="0" fontId="57" fillId="24" borderId="0" xfId="0" applyFill="true" applyFont="true"/>
    <xf numFmtId="0" fontId="5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9" fillId="28" borderId="25" xfId="0" applyFill="true" applyFont="true" applyBorder="true"/>
    <xf numFmtId="0" fontId="0" fillId="0" borderId="25" xfId="0" applyBorder="true"/>
    <xf numFmtId="10" fontId="60" fillId="28" borderId="25" xfId="0" applyFill="true" applyFont="true" applyNumberFormat="true" applyBorder="true"/>
    <xf numFmtId="0" fontId="61" fillId="22" borderId="0" xfId="0" applyFill="true" applyFont="true"/>
    <xf numFmtId="0" fontId="62" fillId="24" borderId="0" xfId="0" applyFill="true" applyFont="true"/>
    <xf numFmtId="0" fontId="6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4" fillId="28" borderId="25" xfId="0" applyFill="true" applyFont="true" applyBorder="true"/>
    <xf numFmtId="0" fontId="0" fillId="0" borderId="25" xfId="0" applyBorder="true"/>
    <xf numFmtId="10" fontId="65" fillId="28" borderId="25" xfId="0" applyFill="true" applyFont="true" applyNumberFormat="true" applyBorder="true"/>
    <xf numFmtId="0" fontId="66" fillId="22" borderId="0" xfId="0" applyFill="true" applyFont="true"/>
    <xf numFmtId="0" fontId="67" fillId="24" borderId="0" xfId="0" applyFill="true" applyFont="true"/>
    <xf numFmtId="0" fontId="6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9" fillId="28" borderId="25" xfId="0" applyFill="true" applyFont="true" applyBorder="true"/>
    <xf numFmtId="0" fontId="0" fillId="0" borderId="25" xfId="0" applyBorder="true"/>
    <xf numFmtId="10" fontId="70" fillId="28" borderId="25" xfId="0" applyFill="true" applyFont="true" applyNumberFormat="true" applyBorder="true"/>
    <xf numFmtId="0" fontId="71" fillId="22" borderId="0" xfId="0" applyFill="true" applyFont="true"/>
    <xf numFmtId="0" fontId="72" fillId="24" borderId="0" xfId="0" applyFill="true" applyFont="true"/>
    <xf numFmtId="0" fontId="7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4" fillId="28" borderId="25" xfId="0" applyFill="true" applyFont="true" applyBorder="true"/>
    <xf numFmtId="0" fontId="0" fillId="0" borderId="25" xfId="0" applyBorder="true"/>
    <xf numFmtId="10" fontId="75" fillId="28" borderId="25" xfId="0" applyFill="true" applyFont="true" applyNumberFormat="true" applyBorder="true"/>
    <xf numFmtId="0" fontId="76" fillId="22" borderId="0" xfId="0" applyFill="true" applyFont="true"/>
    <xf numFmtId="0" fontId="77" fillId="24" borderId="0" xfId="0" applyFill="true" applyFont="true"/>
    <xf numFmtId="0" fontId="7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9" fillId="28" borderId="25" xfId="0" applyFill="true" applyFont="true" applyBorder="true"/>
    <xf numFmtId="0" fontId="0" fillId="0" borderId="25" xfId="0" applyBorder="true"/>
    <xf numFmtId="10" fontId="80" fillId="28" borderId="25" xfId="0" applyFill="true" applyFont="true" applyNumberFormat="true" applyBorder="true"/>
    <xf numFmtId="0" fontId="81" fillId="22" borderId="0" xfId="0" applyFill="true" applyFont="true"/>
    <xf numFmtId="0" fontId="82" fillId="24" borderId="0" xfId="0" applyFill="true" applyFont="true"/>
    <xf numFmtId="0" fontId="8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4" fillId="28" borderId="25" xfId="0" applyFill="true" applyFont="true" applyBorder="true"/>
    <xf numFmtId="0" fontId="0" fillId="0" borderId="25" xfId="0" applyBorder="true"/>
    <xf numFmtId="10" fontId="85" fillId="28" borderId="25" xfId="0" applyFill="true" applyFont="true" applyNumberFormat="true" applyBorder="true"/>
    <xf numFmtId="0" fontId="86" fillId="22" borderId="0" xfId="0" applyFill="true" applyFont="true"/>
    <xf numFmtId="0" fontId="87" fillId="24" borderId="0" xfId="0" applyFill="true" applyFont="true"/>
    <xf numFmtId="0" fontId="8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9" fillId="28" borderId="25" xfId="0" applyFill="true" applyFont="true" applyBorder="true"/>
    <xf numFmtId="0" fontId="0" fillId="0" borderId="25" xfId="0" applyBorder="true"/>
    <xf numFmtId="10" fontId="90" fillId="28" borderId="25" xfId="0" applyFill="true" applyFont="true" applyNumberFormat="true" applyBorder="true"/>
    <xf numFmtId="0" fontId="91" fillId="22" borderId="0" xfId="0" applyFill="true" applyFont="true"/>
    <xf numFmtId="0" fontId="92" fillId="24" borderId="0" xfId="0" applyFill="true" applyFont="true"/>
    <xf numFmtId="0" fontId="9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4" fillId="28" borderId="25" xfId="0" applyFill="true" applyFont="true" applyBorder="true"/>
    <xf numFmtId="0" fontId="0" fillId="0" borderId="25" xfId="0" applyBorder="true"/>
    <xf numFmtId="10" fontId="95" fillId="28" borderId="25" xfId="0" applyFill="true" applyFont="true" applyNumberFormat="true" applyBorder="true"/>
    <xf numFmtId="0" fontId="96" fillId="22" borderId="0" xfId="0" applyFill="true" applyFont="true"/>
    <xf numFmtId="0" fontId="97" fillId="24" borderId="0" xfId="0" applyFill="true" applyFont="true"/>
    <xf numFmtId="0" fontId="9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9" fillId="28" borderId="25" xfId="0" applyFill="true" applyFont="true" applyBorder="true"/>
    <xf numFmtId="0" fontId="0" fillId="0" borderId="25" xfId="0" applyBorder="true"/>
    <xf numFmtId="10" fontId="100" fillId="28" borderId="25" xfId="0" applyFill="true" applyFont="true" applyNumberFormat="true" applyBorder="true"/>
    <xf numFmtId="0" fontId="101" fillId="22" borderId="0" xfId="0" applyFill="true" applyFont="true"/>
    <xf numFmtId="0" fontId="102" fillId="24" borderId="0" xfId="0" applyFill="true" applyFont="true"/>
    <xf numFmtId="0" fontId="10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4" fillId="28" borderId="25" xfId="0" applyFill="true" applyFont="true" applyBorder="true"/>
    <xf numFmtId="0" fontId="0" fillId="0" borderId="25" xfId="0" applyBorder="true"/>
    <xf numFmtId="10" fontId="105" fillId="28" borderId="25" xfId="0" applyFill="true" applyFont="true" applyNumberFormat="true" applyBorder="true"/>
    <xf numFmtId="0" fontId="106" fillId="22" borderId="0" xfId="0" applyFill="true" applyFont="true"/>
    <xf numFmtId="0" fontId="107" fillId="24" borderId="0" xfId="0" applyFill="true" applyFont="true"/>
    <xf numFmtId="0" fontId="10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9" fillId="28" borderId="25" xfId="0" applyFill="true" applyFont="true" applyBorder="true"/>
    <xf numFmtId="0" fontId="0" fillId="0" borderId="25" xfId="0" applyBorder="true"/>
    <xf numFmtId="10" fontId="110" fillId="28" borderId="25" xfId="0" applyFill="true" applyFont="true" applyNumberFormat="true" applyBorder="true"/>
    <xf numFmtId="0" fontId="111" fillId="22" borderId="0" xfId="0" applyFill="true" applyFont="true"/>
    <xf numFmtId="0" fontId="112" fillId="24" borderId="0" xfId="0" applyFill="true" applyFont="true"/>
    <xf numFmtId="0" fontId="11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4" fillId="28" borderId="25" xfId="0" applyFill="true" applyFont="true" applyBorder="true"/>
    <xf numFmtId="0" fontId="0" fillId="0" borderId="25" xfId="0" applyBorder="true"/>
    <xf numFmtId="10" fontId="115" fillId="28" borderId="25" xfId="0" applyFill="true" applyFont="true" applyNumberFormat="true" applyBorder="true"/>
    <xf numFmtId="0" fontId="116" fillId="22" borderId="0" xfId="0" applyFill="true" applyFont="true"/>
    <xf numFmtId="0" fontId="117" fillId="24" borderId="0" xfId="0" applyFill="true" applyFont="true"/>
    <xf numFmtId="0" fontId="11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9" fillId="28" borderId="25" xfId="0" applyFill="true" applyFont="true" applyBorder="true"/>
    <xf numFmtId="0" fontId="0" fillId="0" borderId="25" xfId="0" applyBorder="true"/>
    <xf numFmtId="10" fontId="120" fillId="28" borderId="25" xfId="0" applyFill="true" applyFont="true" applyNumberFormat="true" applyBorder="true"/>
  </cellXfs>
  <cellStyles count="365">
    <cellStyle builtinId="41" customBuiltin="1" name="Accent4" xfId="4"/>
    <cellStyle builtinId="22" customBuiltin="1" name="Calculation" xfId="3"/>
    <cellStyle builtinId="0" customBuiltin="1" name="Normal" xfId="0"/>
    <cellStyle name="Normal 10" xfId="33"/>
    <cellStyle name="Normal 10 2" xfId="105"/>
    <cellStyle name="Normal 10 2 2" xfId="283"/>
    <cellStyle name="Normal 10 3" xfId="156"/>
    <cellStyle name="Normal 10 3 2" xfId="334"/>
    <cellStyle name="Normal 10 4" xfId="211"/>
    <cellStyle name="Normal 11" xfId="29"/>
    <cellStyle name="Normal 11 2" xfId="79"/>
    <cellStyle name="Normal 11 2 2" xfId="257"/>
    <cellStyle name="Normal 11 3" xfId="130"/>
    <cellStyle name="Normal 11 3 2" xfId="308"/>
    <cellStyle name="Normal 11 4" xfId="181"/>
    <cellStyle name="Normal 11 4 2" xfId="359"/>
    <cellStyle name="Normal 11 5" xfId="207"/>
    <cellStyle name="Normal 12" xfId="35"/>
    <cellStyle name="Normal 12 2" xfId="213"/>
    <cellStyle name="Normal 13" xfId="80"/>
    <cellStyle name="Normal 13 2" xfId="258"/>
    <cellStyle name="Normal 14" xfId="131"/>
    <cellStyle name="Normal 14 2" xfId="309"/>
    <cellStyle name="Normal 15" xfId="182"/>
    <cellStyle name="Normal 16" xfId="360"/>
    <cellStyle name="Normal 17" xfId="364"/>
    <cellStyle name="Normal 18" xfId="361"/>
    <cellStyle name="Normal 19" xfId="362"/>
    <cellStyle name="Normal 2" xfId="2"/>
    <cellStyle name="Normal 2 10" xfId="184"/>
    <cellStyle name="Normal 2 2" xfId="8"/>
    <cellStyle name="Normal 2 2 2" xfId="17"/>
    <cellStyle name="Normal 2 2 2 2" xfId="32"/>
    <cellStyle name="Normal 2 2 2 2 2" xfId="118"/>
    <cellStyle name="Normal 2 2 2 2 2 2" xfId="296"/>
    <cellStyle name="Normal 2 2 2 2 3" xfId="169"/>
    <cellStyle name="Normal 2 2 2 2 3 2" xfId="347"/>
    <cellStyle name="Normal 2 2 2 2 4" xfId="210"/>
    <cellStyle name="Normal 2 2 2 3" xfId="100"/>
    <cellStyle name="Normal 2 2 2 3 2" xfId="278"/>
    <cellStyle name="Normal 2 2 2 4" xfId="151"/>
    <cellStyle name="Normal 2 2 2 4 2" xfId="329"/>
    <cellStyle name="Normal 2 2 2 5" xfId="195"/>
    <cellStyle name="Normal 2 2 3" xfId="25"/>
    <cellStyle name="Normal 2 2 3 2" xfId="75"/>
    <cellStyle name="Normal 2 2 3 2 2" xfId="126"/>
    <cellStyle name="Normal 2 2 3 2 2 2" xfId="304"/>
    <cellStyle name="Normal 2 2 3 2 3" xfId="177"/>
    <cellStyle name="Normal 2 2 3 2 3 2" xfId="355"/>
    <cellStyle name="Normal 2 2 3 2 4" xfId="253"/>
    <cellStyle name="Normal 2 2 3 3" xfId="45"/>
    <cellStyle name="Normal 2 2 3 3 2" xfId="223"/>
    <cellStyle name="Normal 2 2 3 4" xfId="92"/>
    <cellStyle name="Normal 2 2 3 4 2" xfId="270"/>
    <cellStyle name="Normal 2 2 3 5" xfId="143"/>
    <cellStyle name="Normal 2 2 3 5 2" xfId="321"/>
    <cellStyle name="Normal 2 2 3 6" xfId="203"/>
    <cellStyle name="Normal 2 2 4" xfId="60"/>
    <cellStyle name="Normal 2 2 4 2" xfId="109"/>
    <cellStyle name="Normal 2 2 4 2 2" xfId="287"/>
    <cellStyle name="Normal 2 2 4 3" xfId="160"/>
    <cellStyle name="Normal 2 2 4 3 2" xfId="338"/>
    <cellStyle name="Normal 2 2 4 4" xfId="238"/>
    <cellStyle name="Normal 2 2 5" xfId="84"/>
    <cellStyle name="Normal 2 2 5 2" xfId="262"/>
    <cellStyle name="Normal 2 2 6" xfId="135"/>
    <cellStyle name="Normal 2 2 6 2" xfId="313"/>
    <cellStyle name="Normal 2 2 7" xfId="186"/>
    <cellStyle name="Normal 2 3" xfId="11"/>
    <cellStyle name="Normal 2 3 2" xfId="20"/>
    <cellStyle name="Normal 2 3 2 2" xfId="70"/>
    <cellStyle name="Normal 2 3 2 2 2" xfId="121"/>
    <cellStyle name="Normal 2 3 2 2 2 2" xfId="299"/>
    <cellStyle name="Normal 2 3 2 2 3" xfId="172"/>
    <cellStyle name="Normal 2 3 2 2 3 2" xfId="350"/>
    <cellStyle name="Normal 2 3 2 2 4" xfId="248"/>
    <cellStyle name="Normal 2 3 2 3" xfId="55"/>
    <cellStyle name="Normal 2 3 2 3 2" xfId="233"/>
    <cellStyle name="Normal 2 3 2 4" xfId="103"/>
    <cellStyle name="Normal 2 3 2 4 2" xfId="281"/>
    <cellStyle name="Normal 2 3 2 5" xfId="154"/>
    <cellStyle name="Normal 2 3 2 5 2" xfId="332"/>
    <cellStyle name="Normal 2 3 2 6" xfId="198"/>
    <cellStyle name="Normal 2 3 3" xfId="28"/>
    <cellStyle name="Normal 2 3 3 2" xfId="78"/>
    <cellStyle name="Normal 2 3 3 2 2" xfId="129"/>
    <cellStyle name="Normal 2 3 3 2 2 2" xfId="307"/>
    <cellStyle name="Normal 2 3 3 2 3" xfId="180"/>
    <cellStyle name="Normal 2 3 3 2 3 2" xfId="358"/>
    <cellStyle name="Normal 2 3 3 2 4" xfId="256"/>
    <cellStyle name="Normal 2 3 3 3" xfId="48"/>
    <cellStyle name="Normal 2 3 3 3 2" xfId="226"/>
    <cellStyle name="Normal 2 3 3 4" xfId="95"/>
    <cellStyle name="Normal 2 3 3 4 2" xfId="273"/>
    <cellStyle name="Normal 2 3 3 5" xfId="146"/>
    <cellStyle name="Normal 2 3 3 5 2" xfId="324"/>
    <cellStyle name="Normal 2 3 3 6" xfId="206"/>
    <cellStyle name="Normal 2 3 4" xfId="62"/>
    <cellStyle name="Normal 2 3 4 2" xfId="112"/>
    <cellStyle name="Normal 2 3 4 2 2" xfId="290"/>
    <cellStyle name="Normal 2 3 4 3" xfId="163"/>
    <cellStyle name="Normal 2 3 4 3 2" xfId="341"/>
    <cellStyle name="Normal 2 3 4 4" xfId="240"/>
    <cellStyle name="Normal 2 3 5" xfId="40"/>
    <cellStyle name="Normal 2 3 5 2" xfId="218"/>
    <cellStyle name="Normal 2 3 6" xfId="87"/>
    <cellStyle name="Normal 2 3 6 2" xfId="265"/>
    <cellStyle name="Normal 2 3 7" xfId="138"/>
    <cellStyle name="Normal 2 3 7 2" xfId="316"/>
    <cellStyle name="Normal 2 3 8" xfId="189"/>
    <cellStyle name="Normal 2 4" xfId="14"/>
    <cellStyle name="Normal 2 4 2" xfId="65"/>
    <cellStyle name="Normal 2 4 2 2" xfId="115"/>
    <cellStyle name="Normal 2 4 2 2 2" xfId="293"/>
    <cellStyle name="Normal 2 4 2 3" xfId="166"/>
    <cellStyle name="Normal 2 4 2 3 2" xfId="344"/>
    <cellStyle name="Normal 2 4 2 4" xfId="243"/>
    <cellStyle name="Normal 2 4 3" xfId="51"/>
    <cellStyle name="Normal 2 4 3 2" xfId="229"/>
    <cellStyle name="Normal 2 4 4" xfId="98"/>
    <cellStyle name="Normal 2 4 4 2" xfId="276"/>
    <cellStyle name="Normal 2 4 5" xfId="149"/>
    <cellStyle name="Normal 2 4 5 2" xfId="327"/>
    <cellStyle name="Normal 2 4 6" xfId="192"/>
    <cellStyle name="Normal 2 5" xfId="23"/>
    <cellStyle name="Normal 2 5 2" xfId="73"/>
    <cellStyle name="Normal 2 5 2 2" xfId="124"/>
    <cellStyle name="Normal 2 5 2 2 2" xfId="302"/>
    <cellStyle name="Normal 2 5 2 3" xfId="175"/>
    <cellStyle name="Normal 2 5 2 3 2" xfId="353"/>
    <cellStyle name="Normal 2 5 2 4" xfId="251"/>
    <cellStyle name="Normal 2 5 3" xfId="43"/>
    <cellStyle name="Normal 2 5 3 2" xfId="221"/>
    <cellStyle name="Normal 2 5 4" xfId="90"/>
    <cellStyle name="Normal 2 5 4 2" xfId="268"/>
    <cellStyle name="Normal 2 5 5" xfId="141"/>
    <cellStyle name="Normal 2 5 5 2" xfId="319"/>
    <cellStyle name="Normal 2 5 6" xfId="201"/>
    <cellStyle name="Normal 2 6" xfId="58"/>
    <cellStyle name="Normal 2 6 2" xfId="107"/>
    <cellStyle name="Normal 2 6 2 2" xfId="285"/>
    <cellStyle name="Normal 2 6 3" xfId="158"/>
    <cellStyle name="Normal 2 6 3 2" xfId="336"/>
    <cellStyle name="Normal 2 6 4" xfId="236"/>
    <cellStyle name="Normal 2 7" xfId="37"/>
    <cellStyle name="Normal 2 7 2" xfId="215"/>
    <cellStyle name="Normal 2 8" xfId="82"/>
    <cellStyle name="Normal 2 8 2" xfId="260"/>
    <cellStyle name="Normal 2 9" xfId="133"/>
    <cellStyle name="Normal 2 9 2" xfId="311"/>
    <cellStyle name="Normal 20" xfId="363"/>
    <cellStyle name="Normal 3" xfId="1"/>
    <cellStyle name="Normal 3 2" xfId="13"/>
    <cellStyle name="Normal 3 2 2" xfId="64"/>
    <cellStyle name="Normal 3 2 2 2" xfId="114"/>
    <cellStyle name="Normal 3 2 2 2 2" xfId="292"/>
    <cellStyle name="Normal 3 2 2 3" xfId="165"/>
    <cellStyle name="Normal 3 2 2 3 2" xfId="343"/>
    <cellStyle name="Normal 3 2 2 4" xfId="242"/>
    <cellStyle name="Normal 3 2 3" xfId="50"/>
    <cellStyle name="Normal 3 2 3 2" xfId="228"/>
    <cellStyle name="Normal 3 2 4" xfId="97"/>
    <cellStyle name="Normal 3 2 4 2" xfId="275"/>
    <cellStyle name="Normal 3 2 5" xfId="148"/>
    <cellStyle name="Normal 3 2 5 2" xfId="326"/>
    <cellStyle name="Normal 3 2 6" xfId="191"/>
    <cellStyle name="Normal 3 3" xfId="22"/>
    <cellStyle name="Normal 3 3 2" xfId="72"/>
    <cellStyle name="Normal 3 3 2 2" xfId="123"/>
    <cellStyle name="Normal 3 3 2 2 2" xfId="301"/>
    <cellStyle name="Normal 3 3 2 3" xfId="174"/>
    <cellStyle name="Normal 3 3 2 3 2" xfId="352"/>
    <cellStyle name="Normal 3 3 2 4" xfId="250"/>
    <cellStyle name="Normal 3 3 3" xfId="42"/>
    <cellStyle name="Normal 3 3 3 2" xfId="220"/>
    <cellStyle name="Normal 3 3 4" xfId="89"/>
    <cellStyle name="Normal 3 3 4 2" xfId="267"/>
    <cellStyle name="Normal 3 3 5" xfId="140"/>
    <cellStyle name="Normal 3 3 5 2" xfId="318"/>
    <cellStyle name="Normal 3 3 6" xfId="200"/>
    <cellStyle name="Normal 3 4" xfId="57"/>
    <cellStyle name="Normal 3 4 2" xfId="106"/>
    <cellStyle name="Normal 3 4 2 2" xfId="284"/>
    <cellStyle name="Normal 3 4 3" xfId="157"/>
    <cellStyle name="Normal 3 4 3 2" xfId="335"/>
    <cellStyle name="Normal 3 4 4" xfId="235"/>
    <cellStyle name="Normal 3 5" xfId="36"/>
    <cellStyle name="Normal 3 5 2" xfId="214"/>
    <cellStyle name="Normal 3 6" xfId="81"/>
    <cellStyle name="Normal 3 6 2" xfId="259"/>
    <cellStyle name="Normal 3 7" xfId="132"/>
    <cellStyle name="Normal 3 7 2" xfId="310"/>
    <cellStyle name="Normal 3 8" xfId="183"/>
    <cellStyle name="Normal 4" xfId="7"/>
    <cellStyle name="Normal 4 2" xfId="16"/>
    <cellStyle name="Normal 4 2 2" xfId="67"/>
    <cellStyle name="Normal 4 2 2 2" xfId="117"/>
    <cellStyle name="Normal 4 2 2 2 2" xfId="295"/>
    <cellStyle name="Normal 4 2 2 3" xfId="168"/>
    <cellStyle name="Normal 4 2 2 3 2" xfId="346"/>
    <cellStyle name="Normal 4 2 2 4" xfId="245"/>
    <cellStyle name="Normal 4 2 3" xfId="52"/>
    <cellStyle name="Normal 4 2 3 2" xfId="230"/>
    <cellStyle name="Normal 4 2 4" xfId="99"/>
    <cellStyle name="Normal 4 2 4 2" xfId="277"/>
    <cellStyle name="Normal 4 2 5" xfId="150"/>
    <cellStyle name="Normal 4 2 5 2" xfId="328"/>
    <cellStyle name="Normal 4 2 6" xfId="194"/>
    <cellStyle name="Normal 4 3" xfId="24"/>
    <cellStyle name="Normal 4 3 2" xfId="74"/>
    <cellStyle name="Normal 4 3 2 2" xfId="125"/>
    <cellStyle name="Normal 4 3 2 2 2" xfId="303"/>
    <cellStyle name="Normal 4 3 2 3" xfId="176"/>
    <cellStyle name="Normal 4 3 2 3 2" xfId="354"/>
    <cellStyle name="Normal 4 3 2 4" xfId="252"/>
    <cellStyle name="Normal 4 3 3" xfId="44"/>
    <cellStyle name="Normal 4 3 3 2" xfId="222"/>
    <cellStyle name="Normal 4 3 4" xfId="91"/>
    <cellStyle name="Normal 4 3 4 2" xfId="269"/>
    <cellStyle name="Normal 4 3 5" xfId="142"/>
    <cellStyle name="Normal 4 3 5 2" xfId="320"/>
    <cellStyle name="Normal 4 3 6" xfId="202"/>
    <cellStyle name="Normal 4 4" xfId="59"/>
    <cellStyle name="Normal 4 4 2" xfId="108"/>
    <cellStyle name="Normal 4 4 2 2" xfId="286"/>
    <cellStyle name="Normal 4 4 3" xfId="159"/>
    <cellStyle name="Normal 4 4 3 2" xfId="337"/>
    <cellStyle name="Normal 4 4 4" xfId="237"/>
    <cellStyle name="Normal 4 5" xfId="38"/>
    <cellStyle name="Normal 4 5 2" xfId="216"/>
    <cellStyle name="Normal 4 6" xfId="83"/>
    <cellStyle name="Normal 4 6 2" xfId="261"/>
    <cellStyle name="Normal 4 7" xfId="134"/>
    <cellStyle name="Normal 4 7 2" xfId="312"/>
    <cellStyle name="Normal 4 8" xfId="185"/>
    <cellStyle name="Normal 5" xfId="9"/>
    <cellStyle name="Normal 5 2" xfId="18"/>
    <cellStyle name="Normal 5 2 2" xfId="68"/>
    <cellStyle name="Normal 5 2 2 2" xfId="119"/>
    <cellStyle name="Normal 5 2 2 2 2" xfId="297"/>
    <cellStyle name="Normal 5 2 2 3" xfId="170"/>
    <cellStyle name="Normal 5 2 2 3 2" xfId="348"/>
    <cellStyle name="Normal 5 2 2 4" xfId="246"/>
    <cellStyle name="Normal 5 2 3" xfId="53"/>
    <cellStyle name="Normal 5 2 3 2" xfId="231"/>
    <cellStyle name="Normal 5 2 4" xfId="101"/>
    <cellStyle name="Normal 5 2 4 2" xfId="279"/>
    <cellStyle name="Normal 5 2 5" xfId="152"/>
    <cellStyle name="Normal 5 2 5 2" xfId="330"/>
    <cellStyle name="Normal 5 2 6" xfId="196"/>
    <cellStyle name="Normal 5 3" xfId="26"/>
    <cellStyle name="Normal 5 3 2" xfId="76"/>
    <cellStyle name="Normal 5 3 2 2" xfId="127"/>
    <cellStyle name="Normal 5 3 2 2 2" xfId="305"/>
    <cellStyle name="Normal 5 3 2 3" xfId="178"/>
    <cellStyle name="Normal 5 3 2 3 2" xfId="356"/>
    <cellStyle name="Normal 5 3 2 4" xfId="254"/>
    <cellStyle name="Normal 5 3 3" xfId="46"/>
    <cellStyle name="Normal 5 3 3 2" xfId="224"/>
    <cellStyle name="Normal 5 3 4" xfId="93"/>
    <cellStyle name="Normal 5 3 4 2" xfId="271"/>
    <cellStyle name="Normal 5 3 5" xfId="144"/>
    <cellStyle name="Normal 5 3 5 2" xfId="322"/>
    <cellStyle name="Normal 5 3 6" xfId="204"/>
    <cellStyle name="Normal 5 4" xfId="61"/>
    <cellStyle name="Normal 5 4 2" xfId="110"/>
    <cellStyle name="Normal 5 4 2 2" xfId="288"/>
    <cellStyle name="Normal 5 4 3" xfId="161"/>
    <cellStyle name="Normal 5 4 3 2" xfId="339"/>
    <cellStyle name="Normal 5 4 4" xfId="239"/>
    <cellStyle name="Normal 5 5" xfId="39"/>
    <cellStyle name="Normal 5 5 2" xfId="217"/>
    <cellStyle name="Normal 5 6" xfId="85"/>
    <cellStyle name="Normal 5 6 2" xfId="263"/>
    <cellStyle name="Normal 5 7" xfId="136"/>
    <cellStyle name="Normal 5 7 2" xfId="314"/>
    <cellStyle name="Normal 5 8" xfId="187"/>
    <cellStyle name="Normal 6" xfId="10"/>
    <cellStyle name="Normal 6 2" xfId="19"/>
    <cellStyle name="Normal 6 2 2" xfId="30"/>
    <cellStyle name="Normal 6 2 2 2" xfId="69"/>
    <cellStyle name="Normal 6 2 2 2 2" xfId="247"/>
    <cellStyle name="Normal 6 2 2 3" xfId="120"/>
    <cellStyle name="Normal 6 2 2 3 2" xfId="298"/>
    <cellStyle name="Normal 6 2 2 4" xfId="171"/>
    <cellStyle name="Normal 6 2 2 4 2" xfId="349"/>
    <cellStyle name="Normal 6 2 2 5" xfId="208"/>
    <cellStyle name="Normal 6 2 3" xfId="54"/>
    <cellStyle name="Normal 6 2 3 2" xfId="232"/>
    <cellStyle name="Normal 6 2 4" xfId="102"/>
    <cellStyle name="Normal 6 2 4 2" xfId="280"/>
    <cellStyle name="Normal 6 2 5" xfId="153"/>
    <cellStyle name="Normal 6 2 5 2" xfId="331"/>
    <cellStyle name="Normal 6 2 6" xfId="197"/>
    <cellStyle name="Normal 6 3" xfId="27"/>
    <cellStyle name="Normal 6 3 2" xfId="77"/>
    <cellStyle name="Normal 6 3 2 2" xfId="128"/>
    <cellStyle name="Normal 6 3 2 2 2" xfId="306"/>
    <cellStyle name="Normal 6 3 2 3" xfId="179"/>
    <cellStyle name="Normal 6 3 2 3 2" xfId="357"/>
    <cellStyle name="Normal 6 3 2 4" xfId="255"/>
    <cellStyle name="Normal 6 3 3" xfId="47"/>
    <cellStyle name="Normal 6 3 3 2" xfId="225"/>
    <cellStyle name="Normal 6 3 4" xfId="94"/>
    <cellStyle name="Normal 6 3 4 2" xfId="272"/>
    <cellStyle name="Normal 6 3 5" xfId="145"/>
    <cellStyle name="Normal 6 3 5 2" xfId="323"/>
    <cellStyle name="Normal 6 3 6" xfId="205"/>
    <cellStyle name="Normal 6 4" xfId="34"/>
    <cellStyle name="Normal 6 4 2" xfId="111"/>
    <cellStyle name="Normal 6 4 2 2" xfId="289"/>
    <cellStyle name="Normal 6 4 3" xfId="162"/>
    <cellStyle name="Normal 6 4 3 2" xfId="340"/>
    <cellStyle name="Normal 6 4 4" xfId="212"/>
    <cellStyle name="Normal 6 5" xfId="86"/>
    <cellStyle name="Normal 6 5 2" xfId="264"/>
    <cellStyle name="Normal 6 6" xfId="137"/>
    <cellStyle name="Normal 6 6 2" xfId="315"/>
    <cellStyle name="Normal 6 7" xfId="188"/>
    <cellStyle name="Normal 7" xfId="12"/>
    <cellStyle name="Normal 7 2" xfId="63"/>
    <cellStyle name="Normal 7 2 2" xfId="113"/>
    <cellStyle name="Normal 7 2 2 2" xfId="291"/>
    <cellStyle name="Normal 7 2 3" xfId="164"/>
    <cellStyle name="Normal 7 2 3 2" xfId="342"/>
    <cellStyle name="Normal 7 2 4" xfId="241"/>
    <cellStyle name="Normal 7 3" xfId="49"/>
    <cellStyle name="Normal 7 3 2" xfId="227"/>
    <cellStyle name="Normal 7 4" xfId="96"/>
    <cellStyle name="Normal 7 4 2" xfId="274"/>
    <cellStyle name="Normal 7 5" xfId="147"/>
    <cellStyle name="Normal 7 5 2" xfId="325"/>
    <cellStyle name="Normal 7 6" xfId="190"/>
    <cellStyle name="Normal 8" xfId="21"/>
    <cellStyle name="Normal 8 2" xfId="71"/>
    <cellStyle name="Normal 8 2 2" xfId="122"/>
    <cellStyle name="Normal 8 2 2 2" xfId="300"/>
    <cellStyle name="Normal 8 2 3" xfId="173"/>
    <cellStyle name="Normal 8 2 3 2" xfId="351"/>
    <cellStyle name="Normal 8 2 4" xfId="249"/>
    <cellStyle name="Normal 8 3" xfId="41"/>
    <cellStyle name="Normal 8 3 2" xfId="219"/>
    <cellStyle name="Normal 8 4" xfId="88"/>
    <cellStyle name="Normal 8 4 2" xfId="266"/>
    <cellStyle name="Normal 8 5" xfId="139"/>
    <cellStyle name="Normal 8 5 2" xfId="317"/>
    <cellStyle name="Normal 8 6" xfId="199"/>
    <cellStyle name="Normal 9" xfId="15"/>
    <cellStyle name="Normal 9 2" xfId="31"/>
    <cellStyle name="Normal 9 2 2" xfId="66"/>
    <cellStyle name="Normal 9 2 2 2" xfId="244"/>
    <cellStyle name="Normal 9 2 3" xfId="116"/>
    <cellStyle name="Normal 9 2 3 2" xfId="294"/>
    <cellStyle name="Normal 9 2 4" xfId="167"/>
    <cellStyle name="Normal 9 2 4 2" xfId="345"/>
    <cellStyle name="Normal 9 2 5" xfId="209"/>
    <cellStyle name="Normal 9 3" xfId="56"/>
    <cellStyle name="Normal 9 3 2" xfId="234"/>
    <cellStyle name="Normal 9 4" xfId="104"/>
    <cellStyle name="Normal 9 4 2" xfId="282"/>
    <cellStyle name="Normal 9 5" xfId="155"/>
    <cellStyle name="Normal 9 5 2" xfId="333"/>
    <cellStyle name="Normal 9 6" xfId="193"/>
    <cellStyle name="Normal_KISS_IntegrationTestSpec_v0.9" xfId="5"/>
    <cellStyle name="Normal_NextG_B2_TC_AHR-012_ v0.1" xfId="6"/>
  </cellStyles>
  <dxfs count="0"/>
  <tableStyles count="0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  <ext uri="smNativeData">
      <pm:charStyles xmlns:pm="smNativeData" count="1" id="1542562629">
        <pm:charStyle Id="1" fontId="0" name="Normal"/>
      </pm:charStyles>
      <pm:colors xmlns:pm="smNativeData" count="6" id="1542562629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theme/theme1.xml" Type="http://schemas.openxmlformats.org/officeDocument/2006/relationships/theme"/>
<Relationship Id="rId7" Target="styles.xml" Type="http://schemas.openxmlformats.org/officeDocument/2006/relationships/styles"/>
<Relationship Id="rId8" Target="sharedStrings.xml" Type="http://schemas.openxmlformats.org/officeDocument/2006/relationships/sharedStrings"/>
<Relationship Id="rId9" Target="calcChain.xml" Type="http://schemas.openxmlformats.org/officeDocument/2006/relationships/calcChain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rPr lang="en-US"/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588-4BD1-BB0C-DC0CA7BCF249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588-4BD1-BB0C-DC0CA7BCF249}"/>
              </c:ext>
            </c:extLst>
          </c:dPt>
          <c:dLbls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  <c:ext xmlns:c16="http://schemas.microsoft.com/office/drawing/2014/chart" uri="{C3380CC4-5D6E-409C-BE32-E72D297353CC}">
              <c16:uniqueId val="{00000004-0588-4BD1-BB0C-DC0CA7BCF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  <a:endParaRPr lang="en-US"/>
    </a:p>
  </c:txPr>
  <c:printSettings>
    <c:headerFooter/>
    <c:pageMargins b="0.75" footer="0.3" header="0.3" l="0.7" r="0.7" t="0.75"/>
    <c:pageSetup/>
  </c:printSettings>
  <c:extLst>
    <c:ext xmlns:sm="smo" uri="smo">
      <sm:colorScheme id="1542562629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 textlink="">
      <xdr:nvSpPr>
        <xdr:cNvPr hidden="1" id="5" name="Rectangle 3"/>
        <xdr:cNvSpPr>
          <a:extLst>
            <a:ext uri="smNativeData">
              <pm:smNativeData xmlns:pm="smNativeData" val="SMDATA_14_R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 textlink="">
      <xdr:nvSpPr>
        <xdr:cNvPr hidden="1" id="4" name="Rectangle 2"/>
        <xdr:cNvSpPr>
          <a:extLst>
            <a:ext uri="smNativeData">
              <pm:smNativeData xmlns:pm="smNativeData" val="SMDATA_14_R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 textlink="">
      <xdr:nvSpPr>
        <xdr:cNvPr hidden="1" id="3" name="Rectangle 1"/>
        <xdr:cNvSpPr>
          <a:extLst>
            <a:ext uri="smNativeData">
              <pm:smNativeData xmlns:pm="smNativeData" val="SMDATA_14_R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B2:L26"/>
  <sheetViews>
    <sheetView showGridLines="0" topLeftCell="A4" workbookViewId="0">
      <selection activeCell="B21" sqref="B21"/>
    </sheetView>
  </sheetViews>
  <sheetFormatPr defaultColWidth="8.85546875" defaultRowHeight="12.75"/>
  <cols>
    <col min="1" max="1" customWidth="true" style="2" width="5.0" collapsed="true"/>
    <col min="2" max="2" customWidth="true" style="2" width="40.28515625" collapsed="true"/>
    <col min="3" max="3" customWidth="true" style="2" width="27.85546875" collapsed="true"/>
    <col min="4" max="4" customWidth="true" style="2" width="15.28515625" collapsed="true"/>
    <col min="5" max="5" customWidth="true" style="2" width="18.85546875" collapsed="true"/>
    <col min="6" max="6" customWidth="true" style="2" width="26.7109375" collapsed="true"/>
    <col min="7" max="7" customWidth="true" style="2" width="10.140625" collapsed="true"/>
    <col min="8" max="9" customWidth="true" style="2" width="16.140625" collapsed="true"/>
    <col min="10" max="10" customWidth="true" style="2" width="14.0" collapsed="true"/>
    <col min="11" max="11" customWidth="true" style="2" width="16.0" collapsed="true"/>
    <col min="12" max="12" customWidth="true" style="2" width="8.85546875" collapsed="true"/>
    <col min="13" max="16384" style="2" width="8.85546875" collapsed="true"/>
  </cols>
  <sheetData>
    <row customHeight="1" ht="23.1" r="2" spans="2:11">
      <c r="C2" s="59" t="s">
        <v>0</v>
      </c>
    </row>
    <row r="3" spans="2:11">
      <c r="C3" s="59"/>
    </row>
    <row r="4" spans="2:11">
      <c r="C4" s="59"/>
    </row>
    <row r="5" spans="2:11">
      <c r="C5" s="59"/>
    </row>
    <row customHeight="1" ht="26.1" r="6" spans="2:11"/>
    <row ht="15.75" r="7" spans="2:11">
      <c r="B7" s="21" t="s">
        <v>1</v>
      </c>
      <c r="C7" s="36"/>
      <c r="H7" s="15"/>
      <c r="I7" s="15"/>
      <c r="J7" s="15"/>
      <c r="K7" s="15"/>
    </row>
    <row ht="15.75" r="8" spans="2:11">
      <c r="B8" s="21" t="s">
        <v>2</v>
      </c>
      <c r="C8" s="36"/>
      <c r="H8" s="15"/>
      <c r="I8" s="15"/>
      <c r="J8" s="15"/>
      <c r="K8" s="15"/>
    </row>
    <row ht="15.75" r="9" spans="2:11">
      <c r="B9" s="16"/>
      <c r="C9" s="17"/>
      <c r="D9" s="15"/>
      <c r="E9" s="15"/>
      <c r="F9" s="15"/>
      <c r="G9" s="15"/>
      <c r="H9" s="15"/>
      <c r="I9" s="15"/>
      <c r="J9" s="15"/>
      <c r="K9" s="15"/>
    </row>
    <row ht="15.75" r="10" spans="2:11">
      <c r="B10" s="22" t="s">
        <v>3</v>
      </c>
      <c r="C10" s="37"/>
      <c r="D10" s="15"/>
      <c r="E10" s="22" t="s">
        <v>4</v>
      </c>
      <c r="F10" s="38"/>
      <c r="G10" s="15"/>
      <c r="H10" s="15"/>
      <c r="I10" s="15"/>
      <c r="J10" s="15"/>
      <c r="K10" s="15"/>
    </row>
    <row ht="15.75" r="11" spans="2:11">
      <c r="B11" s="22" t="s">
        <v>5</v>
      </c>
      <c r="C11" s="37"/>
      <c r="D11" s="15"/>
      <c r="E11" s="23" t="s">
        <v>6</v>
      </c>
      <c r="F11" s="38"/>
      <c r="G11" s="15"/>
      <c r="H11" s="15"/>
      <c r="I11" s="15"/>
      <c r="J11" s="15"/>
      <c r="K11" s="15"/>
    </row>
    <row ht="15.75" r="12" spans="2:11">
      <c r="B12" s="22" t="s">
        <v>7</v>
      </c>
      <c r="C12" s="37"/>
      <c r="D12" s="15"/>
      <c r="E12" s="22" t="s">
        <v>8</v>
      </c>
      <c r="F12" s="38"/>
      <c r="G12" s="15"/>
      <c r="H12" s="15"/>
      <c r="I12" s="15"/>
      <c r="J12" s="15"/>
      <c r="K12" s="15"/>
    </row>
    <row ht="15.75" r="13" spans="2:11">
      <c r="B13" s="23" t="s">
        <v>9</v>
      </c>
      <c r="C13" s="37"/>
      <c r="D13" s="15"/>
      <c r="E13" s="22" t="s">
        <v>10</v>
      </c>
      <c r="F13" s="39"/>
      <c r="G13" s="15"/>
      <c r="H13" s="15"/>
      <c r="I13" s="15"/>
      <c r="J13" s="15"/>
      <c r="K13" s="15"/>
    </row>
    <row ht="15" r="14" spans="2:11">
      <c r="B14" s="15"/>
      <c r="C14" s="15"/>
      <c r="D14" s="15"/>
      <c r="E14" s="15"/>
      <c r="F14" s="15"/>
      <c r="G14" s="15"/>
      <c r="H14" s="15"/>
      <c r="I14" s="15"/>
      <c r="J14" s="15"/>
      <c r="K14" s="15"/>
    </row>
    <row ht="15" r="15" spans="2:11"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ht="15" r="16" spans="2:11">
      <c r="B16" s="60" t="s">
        <v>11</v>
      </c>
      <c r="C16" s="60"/>
      <c r="D16" s="60"/>
      <c r="E16" s="60"/>
      <c r="F16" s="60"/>
      <c r="G16" s="60"/>
      <c r="H16" s="60"/>
      <c r="I16" s="60"/>
      <c r="J16" s="60"/>
      <c r="K16" s="60"/>
    </row>
    <row ht="15" r="17" spans="2:11">
      <c r="B17" s="24" t="s">
        <v>12</v>
      </c>
      <c r="C17" s="24" t="s">
        <v>13</v>
      </c>
      <c r="D17" s="24" t="s">
        <v>14</v>
      </c>
      <c r="E17" s="24" t="s">
        <v>15</v>
      </c>
      <c r="F17" s="24" t="s">
        <v>16</v>
      </c>
      <c r="G17" s="24" t="s">
        <v>17</v>
      </c>
      <c r="H17" s="24" t="s">
        <v>18</v>
      </c>
      <c r="I17" s="24" t="s">
        <v>19</v>
      </c>
      <c r="J17" s="24" t="s">
        <v>20</v>
      </c>
      <c r="K17" s="24" t="s">
        <v>21</v>
      </c>
    </row>
    <row ht="15" r="18" spans="2:11">
      <c r="B18" s="19"/>
      <c r="C18" s="25"/>
      <c r="D18" s="26"/>
      <c r="E18" s="7"/>
      <c r="F18" s="27"/>
      <c r="G18" s="8"/>
      <c r="H18" s="9"/>
      <c r="I18" s="10"/>
      <c r="J18" s="8"/>
      <c r="K18" s="9"/>
    </row>
    <row ht="15" r="19" spans="2:11">
      <c r="B19" s="19"/>
      <c r="C19" s="25"/>
      <c r="D19" s="26"/>
      <c r="E19" s="7"/>
      <c r="F19" s="27"/>
      <c r="G19" s="8"/>
      <c r="H19" s="9"/>
      <c r="I19" s="10"/>
      <c r="J19" s="8"/>
      <c r="K19" s="9"/>
    </row>
    <row ht="15" r="20" spans="2:11">
      <c r="B20" s="20"/>
      <c r="C20" s="25"/>
      <c r="D20" s="26"/>
      <c r="E20" s="7"/>
      <c r="F20" s="27"/>
      <c r="G20" s="8"/>
      <c r="H20" s="9"/>
      <c r="I20" s="10"/>
      <c r="J20" s="8"/>
      <c r="K20" s="9"/>
    </row>
    <row ht="15" r="21" spans="2:11">
      <c r="B21" s="20"/>
      <c r="C21" s="25"/>
      <c r="D21" s="26"/>
      <c r="E21" s="7"/>
      <c r="F21" s="27"/>
      <c r="G21" s="8"/>
      <c r="H21" s="9"/>
      <c r="I21" s="10"/>
      <c r="J21" s="8"/>
      <c r="K21" s="9"/>
    </row>
    <row ht="15" r="23" spans="2:11">
      <c r="B23" s="61" t="s">
        <v>22</v>
      </c>
      <c r="C23" s="62"/>
      <c r="D23" s="62"/>
      <c r="E23" s="62"/>
      <c r="F23" s="62"/>
      <c r="G23" s="62"/>
    </row>
    <row r="24" spans="2:11">
      <c r="B24" s="11" t="s">
        <v>23</v>
      </c>
      <c r="C24" s="12" t="s">
        <v>24</v>
      </c>
      <c r="D24" s="13"/>
      <c r="E24" s="13"/>
      <c r="F24" s="13"/>
      <c r="G24" s="14"/>
    </row>
    <row r="25" spans="2:11">
      <c r="B25" s="11"/>
      <c r="C25" s="12"/>
      <c r="D25" s="13"/>
      <c r="E25" s="13"/>
      <c r="F25" s="13"/>
      <c r="G25" s="14"/>
    </row>
    <row r="26" spans="2:11">
      <c r="B26" s="11"/>
      <c r="C26" s="12"/>
      <c r="D26" s="13"/>
      <c r="E26" s="13"/>
      <c r="F26" s="13"/>
      <c r="G26" s="14"/>
    </row>
  </sheetData>
  <mergeCells count="3">
    <mergeCell ref="C2:C5"/>
    <mergeCell ref="B16:K16"/>
    <mergeCell ref="B23:G23"/>
  </mergeCells>
  <dataValidations count="1">
    <dataValidation allowBlank="1" showErrorMessage="1" showInputMessage="1" sqref="C12" type="list">
      <formula1>"None,2G,2,5G,2,75G,3G"</formula1>
    </dataValidation>
  </dataValidations>
  <pageMargins bottom="0.79027800000000004" footer="0.5" header="0.5" left="0.45972200000000002" right="0.55972200000000005" top="0.59027799999999997"/>
  <pageSetup fitToWidth="0" paperSize="9"/>
  <extLs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Z12"/>
  <sheetViews>
    <sheetView tabSelected="1" workbookViewId="0" zoomScale="80">
      <pane activePane="bottomRight" state="frozen" topLeftCell="L2" xSplit="7" ySplit="1"/>
      <selection pane="topRight"/>
      <selection pane="bottomLeft"/>
      <selection activeCell="A2" pane="bottomRight" sqref="A2"/>
    </sheetView>
  </sheetViews>
  <sheetFormatPr defaultRowHeight="15"/>
  <cols>
    <col min="1" max="1" customWidth="true" width="13.28515625" collapsed="true"/>
    <col min="2" max="2" customWidth="true" width="14.0" collapsed="true"/>
    <col min="3" max="3" customWidth="true" width="9.85546875" collapsed="true"/>
    <col min="4" max="4" customWidth="true" width="24.28515625" collapsed="true"/>
    <col min="5" max="5" customWidth="true" width="9.85546875" collapsed="true"/>
    <col min="6" max="6" customWidth="true" width="10.28515625" collapsed="true"/>
    <col min="7" max="7" customWidth="true" width="8.85546875" collapsed="true"/>
    <col min="8" max="8" customWidth="true" width="10.28515625" collapsed="true"/>
    <col min="9" max="9" customWidth="true" width="37.85546875" collapsed="true"/>
    <col min="10" max="10" customWidth="true" width="25.5703125" collapsed="true"/>
    <col min="11" max="11" customWidth="true" width="118.42578125" collapsed="true"/>
    <col min="12" max="12" customWidth="true" width="22.28515625" collapsed="true"/>
    <col min="13" max="13" customWidth="true" width="26.5703125" collapsed="true"/>
    <col min="14" max="23" customWidth="true" width="27.5703125" collapsed="true"/>
    <col min="24" max="24" customWidth="true" width="48.0" collapsed="true"/>
    <col min="25" max="25" customWidth="true" width="26.42578125" collapsed="true"/>
  </cols>
  <sheetData>
    <row r="1" spans="1:25">
      <c r="A1" s="21" t="s">
        <v>12</v>
      </c>
      <c r="B1" s="21" t="s">
        <v>25</v>
      </c>
      <c r="C1" s="21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  <c r="I1" s="21" t="s">
        <v>32</v>
      </c>
      <c r="J1" s="21" t="s">
        <v>33</v>
      </c>
      <c r="K1" s="21" t="s">
        <v>34</v>
      </c>
      <c r="L1" s="21" t="s">
        <v>35</v>
      </c>
      <c r="M1" s="21" t="s">
        <v>36</v>
      </c>
      <c r="N1" s="21" t="s">
        <v>37</v>
      </c>
      <c r="O1" s="21" t="s">
        <v>38</v>
      </c>
      <c r="P1" s="21" t="s">
        <v>39</v>
      </c>
      <c r="Q1" s="21" t="s">
        <v>40</v>
      </c>
      <c r="R1" s="21" t="s">
        <v>41</v>
      </c>
      <c r="S1" s="21" t="s">
        <v>42</v>
      </c>
      <c r="T1" s="21" t="s">
        <v>43</v>
      </c>
      <c r="U1" s="21" t="s">
        <v>44</v>
      </c>
      <c r="V1" s="21" t="s">
        <v>45</v>
      </c>
      <c r="W1" s="21" t="s">
        <v>46</v>
      </c>
      <c r="X1" s="21" t="s">
        <v>47</v>
      </c>
      <c r="Y1" s="21" t="s">
        <v>48</v>
      </c>
    </row>
    <row ht="45" r="2" spans="1:25">
      <c r="A2" s="46" t="s">
        <v>49</v>
      </c>
      <c r="B2" s="42"/>
      <c r="C2" s="45" t="s">
        <v>50</v>
      </c>
      <c r="D2" s="42" t="s">
        <v>51</v>
      </c>
      <c r="E2" s="42" t="s">
        <v>52</v>
      </c>
      <c r="F2" s="42" t="s">
        <v>53</v>
      </c>
      <c r="G2" s="72" t="s">
        <v>325</v>
      </c>
      <c r="H2" s="47"/>
      <c r="I2" s="42"/>
      <c r="J2" s="42"/>
      <c r="K2" s="42" t="str">
        <f>IFERROR(VLOOKUP(J2,Keyword!$D$2:$E$507,2,FALSE),"")</f>
        <v/>
      </c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</row>
    <row ht="30" r="3" spans="1:25">
      <c r="A3" s="42" t="s">
        <v>54</v>
      </c>
      <c r="B3" s="42" t="s">
        <v>54</v>
      </c>
      <c r="C3" s="42" t="s">
        <v>54</v>
      </c>
      <c r="D3" s="42" t="s">
        <v>54</v>
      </c>
      <c r="E3" s="42" t="s">
        <v>54</v>
      </c>
      <c r="F3" s="42" t="s">
        <v>54</v>
      </c>
      <c r="G3" s="42" t="s">
        <v>325</v>
      </c>
      <c r="H3" s="47" t="s">
        <v>321</v>
      </c>
      <c r="I3" s="42" t="s">
        <v>55</v>
      </c>
      <c r="J3" s="42" t="s">
        <v>56</v>
      </c>
      <c r="K3" s="42" t="str">
        <f>IFERROR(VLOOKUP(J3,Keyword!$D$2:$E$507,2,FALSE),"")</f>
        <v>Go to the specified URL
- Value 1(*): URL of the web page to be opened</v>
      </c>
      <c r="L3" s="42" t="s">
        <v>54</v>
      </c>
      <c r="M3" s="42" t="s">
        <v>54</v>
      </c>
      <c r="N3" s="42" t="s">
        <v>57</v>
      </c>
      <c r="O3" s="42" t="s">
        <v>54</v>
      </c>
      <c r="P3" s="42" t="s">
        <v>54</v>
      </c>
      <c r="Q3" s="42" t="s">
        <v>54</v>
      </c>
      <c r="R3" s="42" t="s">
        <v>54</v>
      </c>
      <c r="S3" s="42" t="s">
        <v>54</v>
      </c>
      <c r="T3" s="42" t="s">
        <v>54</v>
      </c>
      <c r="U3" s="42" t="s">
        <v>54</v>
      </c>
      <c r="V3" s="42" t="s">
        <v>54</v>
      </c>
      <c r="W3" s="42" t="s">
        <v>54</v>
      </c>
      <c r="X3" s="42" t="s">
        <v>54</v>
      </c>
      <c r="Y3" s="42" t="s">
        <v>54</v>
      </c>
    </row>
    <row ht="30" r="4" spans="1:25">
      <c r="A4" s="46" t="s">
        <v>49</v>
      </c>
      <c r="B4" s="42"/>
      <c r="C4" s="45" t="s">
        <v>58</v>
      </c>
      <c r="D4" s="42" t="s">
        <v>59</v>
      </c>
      <c r="E4" s="42" t="s">
        <v>52</v>
      </c>
      <c r="F4" s="42" t="s">
        <v>53</v>
      </c>
      <c r="G4" s="80" t="s">
        <v>325</v>
      </c>
      <c r="H4" s="47"/>
      <c r="I4" s="42"/>
      <c r="J4" s="42"/>
      <c r="K4" s="42" t="str">
        <f>IFERROR(VLOOKUP(J4,Keyword!$D$2:$E$507,2,FALSE),"")</f>
        <v/>
      </c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ht="75" r="5" spans="1:25">
      <c r="A5" s="42" t="s">
        <v>54</v>
      </c>
      <c r="B5" s="42" t="s">
        <v>54</v>
      </c>
      <c r="C5" s="42" t="s">
        <v>54</v>
      </c>
      <c r="D5" s="42" t="s">
        <v>54</v>
      </c>
      <c r="E5" s="42" t="s">
        <v>54</v>
      </c>
      <c r="F5" s="42" t="s">
        <v>54</v>
      </c>
      <c r="G5" s="42" t="s">
        <v>325</v>
      </c>
      <c r="H5" s="47" t="s">
        <v>321</v>
      </c>
      <c r="I5" s="42" t="s">
        <v>59</v>
      </c>
      <c r="J5" s="42" t="s">
        <v>60</v>
      </c>
      <c r="K5" s="42" t="str">
        <f>IFERROR(VLOOKUP(J5,Keyword!$D$2:$E$507,2,FALSE),"")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" s="42" t="s">
        <v>54</v>
      </c>
      <c r="M5" s="42" t="s">
        <v>61</v>
      </c>
      <c r="N5" s="42" t="s">
        <v>62</v>
      </c>
      <c r="O5" s="42" t="s">
        <v>63</v>
      </c>
      <c r="P5" s="42" t="s">
        <v>322</v>
      </c>
      <c r="Q5" s="42" t="s">
        <v>54</v>
      </c>
      <c r="R5" s="42" t="s">
        <v>54</v>
      </c>
      <c r="S5" s="42" t="s">
        <v>54</v>
      </c>
      <c r="T5" s="42" t="s">
        <v>54</v>
      </c>
      <c r="U5" s="42" t="s">
        <v>54</v>
      </c>
      <c r="V5" s="42" t="s">
        <v>54</v>
      </c>
      <c r="W5" s="42" t="s">
        <v>54</v>
      </c>
      <c r="X5" s="42" t="s">
        <v>54</v>
      </c>
      <c r="Y5" s="42" t="s">
        <v>54</v>
      </c>
    </row>
    <row ht="30" r="6" spans="1:25">
      <c r="A6" s="46" t="s">
        <v>49</v>
      </c>
      <c r="B6" s="42"/>
      <c r="C6" s="45" t="s">
        <v>64</v>
      </c>
      <c r="D6" s="42" t="s">
        <v>65</v>
      </c>
      <c r="E6" s="42" t="s">
        <v>52</v>
      </c>
      <c r="F6" s="42" t="s">
        <v>53</v>
      </c>
      <c r="G6" s="88" t="s">
        <v>325</v>
      </c>
      <c r="H6" s="47"/>
      <c r="I6" s="42"/>
      <c r="J6" s="42"/>
      <c r="K6" s="42" t="str">
        <f>IFERROR(VLOOKUP(J6,Keyword!$D$2:$E$507,2,FALSE),"")</f>
        <v/>
      </c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</row>
    <row ht="150" r="7" spans="1:25">
      <c r="A7" s="42" t="s">
        <v>54</v>
      </c>
      <c r="B7" s="42" t="s">
        <v>54</v>
      </c>
      <c r="C7" s="42" t="s">
        <v>54</v>
      </c>
      <c r="D7" s="42" t="s">
        <v>54</v>
      </c>
      <c r="E7" s="42" t="s">
        <v>54</v>
      </c>
      <c r="F7" s="42" t="s">
        <v>54</v>
      </c>
      <c r="G7" s="42" t="s">
        <v>325</v>
      </c>
      <c r="H7" s="47" t="s">
        <v>321</v>
      </c>
      <c r="I7" s="42" t="s">
        <v>54</v>
      </c>
      <c r="J7" s="57" t="s">
        <v>66</v>
      </c>
      <c r="K7" s="42" t="str">
        <f>IFERROR(VLOOKUP(J7,Keyword!$D$2:$E$507,2,FALSE),"")</f>
        <v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v>
      </c>
      <c r="L7" s="42" t="s">
        <v>54</v>
      </c>
      <c r="M7" s="42" t="s">
        <v>54</v>
      </c>
      <c r="N7" s="52" t="s">
        <v>67</v>
      </c>
      <c r="O7" s="53" t="s">
        <v>64</v>
      </c>
      <c r="P7" s="53" t="s">
        <v>321</v>
      </c>
      <c r="Q7" s="53" t="s">
        <v>323</v>
      </c>
      <c r="R7" s="53" t="s">
        <v>321</v>
      </c>
      <c r="S7" s="53" t="s">
        <v>321</v>
      </c>
      <c r="T7" s="42" t="s">
        <v>54</v>
      </c>
      <c r="U7" s="42" t="s">
        <v>54</v>
      </c>
      <c r="V7" s="42" t="s">
        <v>54</v>
      </c>
      <c r="W7" s="42" t="s">
        <v>54</v>
      </c>
      <c r="X7" s="42" t="s">
        <v>54</v>
      </c>
      <c r="Y7" s="42" t="s">
        <v>54</v>
      </c>
    </row>
    <row ht="45" r="8" spans="1:25">
      <c r="A8" s="46" t="s">
        <v>49</v>
      </c>
      <c r="B8" s="42"/>
      <c r="C8" s="45" t="s">
        <v>68</v>
      </c>
      <c r="D8" s="42" t="s">
        <v>69</v>
      </c>
      <c r="E8" s="42" t="s">
        <v>52</v>
      </c>
      <c r="F8" s="42" t="s">
        <v>53</v>
      </c>
      <c r="G8" s="97" t="s">
        <v>326</v>
      </c>
      <c r="H8" s="47"/>
      <c r="I8" s="42"/>
      <c r="J8" s="42"/>
      <c r="K8" s="42" t="str">
        <f>IFERROR(VLOOKUP(J8,Keyword!$D$2:$E$507,2,FALSE),"")</f>
        <v/>
      </c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</row>
    <row ht="150" r="9" spans="1:25">
      <c r="A9" s="42" t="s">
        <v>54</v>
      </c>
      <c r="B9" s="42" t="s">
        <v>54</v>
      </c>
      <c r="C9" s="42" t="s">
        <v>54</v>
      </c>
      <c r="D9" s="42" t="s">
        <v>54</v>
      </c>
      <c r="E9" s="42" t="s">
        <v>54</v>
      </c>
      <c r="F9" s="42" t="s">
        <v>54</v>
      </c>
      <c r="G9" s="42" t="s">
        <v>326</v>
      </c>
      <c r="H9" s="47" t="s">
        <v>321</v>
      </c>
      <c r="I9" s="42" t="s">
        <v>69</v>
      </c>
      <c r="J9" s="57" t="s">
        <v>70</v>
      </c>
      <c r="K9" s="42" t="str">
        <f>IFERROR(VLOOKUP(J9,Keyword!$D$2:$E$507,2,FALSE),"")</f>
        <v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v>
      </c>
      <c r="L9" s="42" t="s">
        <v>54</v>
      </c>
      <c r="M9" s="42" t="s">
        <v>54</v>
      </c>
      <c r="N9" s="52" t="s">
        <v>67</v>
      </c>
      <c r="O9" s="52" t="s">
        <v>71</v>
      </c>
      <c r="P9" s="53" t="s">
        <v>321</v>
      </c>
      <c r="Q9" s="53" t="s">
        <v>323</v>
      </c>
      <c r="R9" s="53" t="s">
        <v>324</v>
      </c>
      <c r="S9" s="53" t="s">
        <v>54</v>
      </c>
      <c r="T9" s="42" t="s">
        <v>54</v>
      </c>
      <c r="U9" s="42" t="s">
        <v>54</v>
      </c>
      <c r="V9" s="42" t="s">
        <v>54</v>
      </c>
      <c r="W9" s="42" t="s">
        <v>54</v>
      </c>
      <c r="X9" s="42" t="s">
        <v>327</v>
      </c>
      <c r="Y9" s="42" t="s">
        <v>328</v>
      </c>
    </row>
    <row ht="45" r="10" spans="1:25">
      <c r="A10" s="46" t="s">
        <v>49</v>
      </c>
      <c r="B10" s="42"/>
      <c r="C10" s="45" t="s">
        <v>72</v>
      </c>
      <c r="D10" s="42" t="s">
        <v>73</v>
      </c>
      <c r="E10" s="42" t="s">
        <v>52</v>
      </c>
      <c r="F10" s="42" t="s">
        <v>53</v>
      </c>
      <c r="G10" s="104" t="s">
        <v>325</v>
      </c>
      <c r="H10" s="47"/>
      <c r="I10" s="42"/>
      <c r="J10" s="42"/>
      <c r="K10" s="42" t="str">
        <f>IFERROR(VLOOKUP(J10,Keyword!$D$2:$E$507,2,FALSE),"")</f>
        <v/>
      </c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</row>
    <row ht="315" r="11" spans="1:25">
      <c r="A11" s="42" t="s">
        <v>54</v>
      </c>
      <c r="B11" s="42" t="s">
        <v>54</v>
      </c>
      <c r="C11" s="42" t="s">
        <v>54</v>
      </c>
      <c r="D11" s="42" t="s">
        <v>54</v>
      </c>
      <c r="E11" s="42" t="s">
        <v>54</v>
      </c>
      <c r="F11" s="42" t="s">
        <v>54</v>
      </c>
      <c r="G11" s="42" t="s">
        <v>325</v>
      </c>
      <c r="H11" s="47" t="s">
        <v>321</v>
      </c>
      <c r="I11" s="42" t="s">
        <v>73</v>
      </c>
      <c r="J11" s="57" t="s">
        <v>74</v>
      </c>
      <c r="K11" s="42" t="str">
        <f>IFERROR(VLOOKUP(J11,Keyword!$D$2:$E$507,2,FALSE),"")</f>
        <v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v>
      </c>
      <c r="L11" s="42" t="s">
        <v>54</v>
      </c>
      <c r="M11" s="42" t="s">
        <v>54</v>
      </c>
      <c r="N11" s="52" t="s">
        <v>67</v>
      </c>
      <c r="O11" s="52" t="s">
        <v>68</v>
      </c>
      <c r="P11" s="53" t="s">
        <v>54</v>
      </c>
      <c r="Q11" s="53" t="s">
        <v>54</v>
      </c>
      <c r="R11" s="53" t="s">
        <v>324</v>
      </c>
      <c r="S11" s="53" t="s">
        <v>54</v>
      </c>
      <c r="T11" s="42" t="s">
        <v>54</v>
      </c>
      <c r="U11" s="42" t="s">
        <v>54</v>
      </c>
      <c r="V11" s="42" t="s">
        <v>54</v>
      </c>
      <c r="W11" s="42" t="s">
        <v>54</v>
      </c>
      <c r="X11" s="42" t="s">
        <v>54</v>
      </c>
      <c r="Y11" s="42" t="s">
        <v>54</v>
      </c>
    </row>
    <row r="12" spans="1:25">
      <c r="A12" s="44" t="s">
        <v>54</v>
      </c>
      <c r="B12" s="44" t="s">
        <v>54</v>
      </c>
      <c r="C12" s="41" t="s">
        <v>75</v>
      </c>
      <c r="D12" s="41" t="s">
        <v>54</v>
      </c>
      <c r="E12" s="41" t="s">
        <v>54</v>
      </c>
      <c r="F12" s="41" t="s">
        <v>53</v>
      </c>
      <c r="G12" s="44" t="s">
        <v>54</v>
      </c>
      <c r="H12" s="44" t="s">
        <v>54</v>
      </c>
      <c r="I12" s="44" t="s">
        <v>54</v>
      </c>
      <c r="J12" s="44"/>
      <c r="K12" s="44"/>
      <c r="L12" s="44" t="s">
        <v>54</v>
      </c>
      <c r="M12" s="44" t="s">
        <v>54</v>
      </c>
      <c r="N12" s="44" t="s">
        <v>54</v>
      </c>
      <c r="O12" s="44" t="s">
        <v>54</v>
      </c>
      <c r="P12" s="44" t="s">
        <v>54</v>
      </c>
      <c r="Q12" s="44" t="s">
        <v>54</v>
      </c>
      <c r="R12" s="44" t="s">
        <v>54</v>
      </c>
      <c r="S12" s="44" t="s">
        <v>54</v>
      </c>
      <c r="T12" s="44"/>
      <c r="U12" s="44"/>
      <c r="V12" s="44"/>
      <c r="W12" s="44"/>
      <c r="X12" s="44"/>
      <c r="Y12" s="44"/>
    </row>
  </sheetData>
  <autoFilter ref="A1:Y12"/>
  <dataValidations count="5">
    <dataValidation allowBlank="1" showInputMessage="1" sqref="J2:J4" type="list">
      <formula1>$B$2:$B$504</formula1>
    </dataValidation>
    <dataValidation allowBlank="1" showInputMessage="1" sqref="E2 E4 E6 E8 E10" type="list">
      <formula1>"High, Medium, Low"</formula1>
    </dataValidation>
    <dataValidation allowBlank="1" showInputMessage="1" sqref="J5 J7 J9 J11" type="list">
      <formula1>#REF!</formula1>
    </dataValidation>
    <dataValidation allowBlank="1" showInputMessage="1" sqref="J6" type="list">
      <formula1>$B$2:$B$504</formula1>
    </dataValidation>
    <dataValidation allowBlank="1" showInputMessage="1" sqref="J8" type="list">
      <formula1>$B$2:$B$504</formula1>
    </dataValidation>
  </dataValidations>
  <pageMargins bottom="0.75" footer="0.3" header="0.3" left="0.7" right="0.7" top="0.75"/>
  <pageSetup fitToWidth="0"/>
  <extLst>
    <ext xmlns:x14="http://schemas.microsoft.com/office/spreadsheetml/2009/9/main" uri="{CCE6A557-97BC-4b89-ADB6-D9C93CAAB3DF}">
      <x14:dataValidations xmlns:xm="http://schemas.microsoft.com/office/excel/2006/main" count="1">
        <x14:dataValidation allowBlank="1" showInputMessage="1" type="list">
          <x14:formula1>
            <xm:f>Keyword!$D$2:$D$507</xm:f>
          </x14:formula1>
          <xm:sqref>J10</xm:sqref>
        </x14:dataValidation>
      </x14:dataValidations>
    </ex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D2:N23"/>
  <sheetViews>
    <sheetView topLeftCell="A4" workbookViewId="0" zoomScale="85">
      <selection activeCell="K24" sqref="K24"/>
    </sheetView>
  </sheetViews>
  <sheetFormatPr defaultRowHeight="15"/>
  <cols>
    <col min="4" max="4" customWidth="true" width="10.140625" collapsed="true"/>
    <col min="5" max="5" customWidth="true" width="26.85546875" collapsed="true"/>
    <col min="6" max="9" customWidth="true" width="10.0" collapsed="true"/>
    <col min="10" max="10" customWidth="true" width="32.28515625" collapsed="true"/>
    <col min="11" max="11" customWidth="true" width="34.5703125" collapsed="true"/>
    <col min="12" max="12" customWidth="true" width="10.0" collapsed="true"/>
  </cols>
  <sheetData>
    <row r="2" spans="4:12">
      <c r="H2" s="1"/>
    </row>
    <row r="5" spans="4:12">
      <c r="D5" s="6" t="s">
        <v>58</v>
      </c>
      <c r="E5" s="49" t="s">
        <v>76</v>
      </c>
    </row>
    <row r="6" spans="4:12">
      <c r="E6" s="48" t="s">
        <v>77</v>
      </c>
    </row>
    <row r="7" spans="4:12">
      <c r="E7" s="48" t="s">
        <v>78</v>
      </c>
    </row>
    <row r="8" spans="4:12">
      <c r="E8" s="48" t="s">
        <v>79</v>
      </c>
    </row>
    <row r="9" spans="4:12">
      <c r="E9" s="48" t="s">
        <v>80</v>
      </c>
    </row>
    <row r="10" spans="4:12">
      <c r="E10" s="48" t="s">
        <v>81</v>
      </c>
    </row>
    <row r="11" spans="4:12">
      <c r="E11" s="48" t="s">
        <v>82</v>
      </c>
      <c r="F11" s="6" t="s">
        <v>58</v>
      </c>
    </row>
    <row r="16" spans="4:12">
      <c r="D16" s="6" t="s">
        <v>64</v>
      </c>
      <c r="E16" s="63" t="s">
        <v>83</v>
      </c>
      <c r="F16" s="64"/>
      <c r="G16" s="64"/>
      <c r="H16" s="64"/>
      <c r="I16" s="64"/>
      <c r="J16" s="64"/>
      <c r="K16" s="4"/>
      <c r="L16" s="4"/>
    </row>
    <row r="17" spans="4:13">
      <c r="D17" s="4"/>
      <c r="E17" s="51" t="s">
        <v>84</v>
      </c>
      <c r="F17" s="51" t="s">
        <v>85</v>
      </c>
      <c r="G17" s="51" t="s">
        <v>86</v>
      </c>
      <c r="H17" s="51" t="s">
        <v>87</v>
      </c>
      <c r="I17" s="51" t="s">
        <v>88</v>
      </c>
      <c r="J17" s="51" t="s">
        <v>89</v>
      </c>
      <c r="K17" s="6" t="s">
        <v>64</v>
      </c>
    </row>
    <row r="18" spans="4:13">
      <c r="D18" s="4"/>
      <c r="E18" s="4"/>
      <c r="F18" s="4"/>
      <c r="G18" s="4"/>
      <c r="H18" s="4"/>
      <c r="I18" s="4"/>
      <c r="J18" s="4"/>
    </row>
    <row r="21" spans="4:13">
      <c r="D21" s="54" t="s">
        <v>68</v>
      </c>
      <c r="E21" s="56" t="s">
        <v>36</v>
      </c>
      <c r="F21" s="56" t="s">
        <v>90</v>
      </c>
      <c r="G21" s="56" t="s">
        <v>91</v>
      </c>
      <c r="H21" s="56" t="s">
        <v>92</v>
      </c>
      <c r="I21" s="56" t="s">
        <v>93</v>
      </c>
      <c r="J21" s="56" t="s">
        <v>94</v>
      </c>
      <c r="K21" s="56" t="s">
        <v>95</v>
      </c>
      <c r="L21" s="58" t="s">
        <v>96</v>
      </c>
    </row>
    <row ht="30" r="22" spans="4:13">
      <c r="D22" s="5"/>
      <c r="E22" s="55" t="s">
        <v>97</v>
      </c>
      <c r="F22" s="50"/>
      <c r="G22" s="50"/>
      <c r="H22" s="50"/>
      <c r="I22" s="50"/>
      <c r="J22" s="50" t="s">
        <v>98</v>
      </c>
      <c r="K22" s="50" t="s">
        <v>99</v>
      </c>
      <c r="L22" s="50"/>
      <c r="M22" s="54" t="s">
        <v>68</v>
      </c>
    </row>
    <row r="23" spans="4:13">
      <c r="D23" s="5"/>
      <c r="E23" s="5"/>
      <c r="F23" s="5"/>
      <c r="G23" s="5"/>
      <c r="H23" s="5"/>
      <c r="I23" s="5"/>
    </row>
  </sheetData>
  <mergeCells count="1">
    <mergeCell ref="E16:J16"/>
  </mergeCells>
  <pageMargins bottom="0.75" footer="0.3" header="0.3" left="0.7" right="0.7" top="0.75"/>
  <pageSetup fitToWidth="0"/>
  <extLs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P914"/>
  <sheetViews>
    <sheetView showGridLines="0" workbookViewId="0">
      <selection activeCell="F14" sqref="F14"/>
    </sheetView>
  </sheetViews>
  <sheetFormatPr customHeight="1" defaultColWidth="17.28515625" defaultRowHeight="15"/>
  <cols>
    <col min="1" max="1" customWidth="true" style="3" width="16.7109375" collapsed="true"/>
    <col min="2" max="2" customWidth="true" style="3" width="25.42578125" collapsed="true"/>
    <col min="3" max="3" customWidth="true" style="3" width="9.28515625" collapsed="true"/>
    <col min="4" max="4" customWidth="true" style="3" width="9.5703125" collapsed="true"/>
    <col min="5" max="5" customWidth="true" style="3" width="8.140625" collapsed="true"/>
    <col min="6" max="6" customWidth="true" style="3" width="18.28515625" collapsed="true"/>
    <col min="7" max="7" style="3" width="17.28515625" collapsed="true"/>
    <col min="8" max="8" customWidth="true" style="3" width="12.5703125" collapsed="true"/>
    <col min="9" max="9" customWidth="true" style="3" width="9.42578125" collapsed="true"/>
    <col min="10" max="10" customWidth="true" style="3" width="16.28515625" collapsed="true"/>
    <col min="11" max="18" customWidth="true" style="3" width="8.7109375" collapsed="true"/>
    <col min="19" max="16384" style="3" width="17.28515625" collapsed="true"/>
  </cols>
  <sheetData>
    <row customHeight="1" ht="15" r="1" spans="1:15">
      <c r="A1" s="28"/>
      <c r="B1" s="28"/>
      <c r="C1" s="28"/>
      <c r="D1" s="29"/>
      <c r="E1" s="30"/>
      <c r="F1" s="40" t="s">
        <v>100</v>
      </c>
      <c r="G1" s="43" t="s">
        <v>330</v>
      </c>
      <c r="H1" s="31"/>
      <c r="I1" s="31"/>
      <c r="J1" s="30"/>
    </row>
    <row customHeight="1" ht="15" r="2" spans="1:15">
      <c r="A2" s="28"/>
      <c r="B2" s="28"/>
      <c r="C2" s="28"/>
      <c r="D2" s="29"/>
      <c r="E2" s="30"/>
      <c r="F2" s="40" t="s">
        <v>101</v>
      </c>
      <c r="G2" s="43" t="s">
        <v>331</v>
      </c>
      <c r="H2" s="31"/>
      <c r="I2" s="31"/>
      <c r="J2" s="30"/>
    </row>
    <row customHeight="1" ht="15" r="3" spans="1:15">
      <c r="A3" s="28"/>
      <c r="B3" s="65" t="s">
        <v>102</v>
      </c>
      <c r="C3" s="65"/>
      <c r="D3" s="65"/>
      <c r="E3" s="65"/>
      <c r="F3" s="40" t="s">
        <v>103</v>
      </c>
      <c r="G3" s="43" t="s">
        <v>332</v>
      </c>
      <c r="H3" s="31"/>
      <c r="I3" s="31"/>
      <c r="J3" s="30"/>
    </row>
    <row customHeight="1" ht="12.75" r="4" spans="1:15">
      <c r="A4" s="28"/>
      <c r="B4" s="65"/>
      <c r="C4" s="65"/>
      <c r="D4" s="65"/>
      <c r="E4" s="65"/>
      <c r="F4" s="31"/>
      <c r="G4" s="31"/>
      <c r="H4" s="31"/>
      <c r="I4" s="31"/>
      <c r="J4" s="30"/>
    </row>
    <row customHeight="1" ht="12.75" r="5" spans="1:15">
      <c r="A5" s="28"/>
      <c r="B5" s="65"/>
      <c r="C5" s="65"/>
      <c r="D5" s="65"/>
      <c r="E5" s="65"/>
      <c r="F5" s="31"/>
      <c r="G5" s="31"/>
      <c r="H5" s="31"/>
      <c r="I5" s="31"/>
      <c r="J5" s="30"/>
    </row>
    <row customHeight="1" ht="12.75" r="6" spans="1:15">
      <c r="A6" s="28"/>
      <c r="B6" s="28"/>
      <c r="C6" s="28"/>
      <c r="D6" s="29"/>
      <c r="E6" s="30"/>
      <c r="F6" s="31"/>
      <c r="G6" s="31"/>
      <c r="H6" s="31"/>
      <c r="I6" s="31"/>
      <c r="J6" s="30"/>
    </row>
    <row customHeight="1" ht="15" r="7" spans="1:15">
      <c r="A7" s="28"/>
      <c r="B7" s="66" t="s">
        <v>1</v>
      </c>
      <c r="C7" s="67"/>
      <c r="D7" s="68"/>
      <c r="E7" s="68"/>
      <c r="F7" s="31"/>
      <c r="G7" s="31"/>
      <c r="H7" s="40" t="s">
        <v>104</v>
      </c>
      <c r="I7" s="40" t="s">
        <v>105</v>
      </c>
      <c r="J7" s="30"/>
    </row>
    <row customHeight="1" ht="15" r="8" spans="1:15">
      <c r="A8" s="28"/>
      <c r="B8" s="66" t="s">
        <v>106</v>
      </c>
      <c r="C8" s="67"/>
      <c r="D8" s="68"/>
      <c r="E8" s="68"/>
      <c r="F8" s="31"/>
      <c r="G8" s="31"/>
      <c r="H8" s="34">
        <f>H13</f>
      </c>
      <c r="I8" s="34">
        <f>I13</f>
      </c>
      <c r="J8" s="30"/>
    </row>
    <row customHeight="1" ht="12.75" r="9" spans="1:15">
      <c r="A9" s="28"/>
      <c r="B9" s="28"/>
      <c r="C9" s="28"/>
      <c r="D9" s="29"/>
      <c r="E9" s="30"/>
      <c r="F9" s="31"/>
      <c r="G9" s="31"/>
      <c r="H9" s="31"/>
      <c r="I9" s="31"/>
      <c r="J9" s="30"/>
    </row>
    <row customHeight="1" ht="13.5" r="10" spans="1:15">
      <c r="A10" s="32"/>
      <c r="C10" s="33"/>
      <c r="D10" s="33"/>
      <c r="E10" s="33"/>
      <c r="F10" s="33"/>
      <c r="G10" s="33"/>
      <c r="H10" s="31"/>
      <c r="I10" s="31"/>
      <c r="J10" s="28"/>
    </row>
    <row customHeight="1" ht="15" r="11" spans="1:15">
      <c r="A11" s="32"/>
      <c r="B11" s="40" t="s">
        <v>12</v>
      </c>
      <c r="C11" s="40" t="s">
        <v>104</v>
      </c>
      <c r="D11" s="40" t="s">
        <v>105</v>
      </c>
      <c r="E11" s="40" t="s">
        <v>107</v>
      </c>
      <c r="F11" s="40" t="s">
        <v>108</v>
      </c>
      <c r="G11" s="40" t="s">
        <v>109</v>
      </c>
      <c r="H11" s="40" t="s">
        <v>110</v>
      </c>
      <c r="I11" s="40" t="s">
        <v>111</v>
      </c>
      <c r="J11" s="28"/>
    </row>
    <row customHeight="1" ht="13.5" r="12" spans="1:15">
      <c r="A12" s="32"/>
      <c r="B12" s="174" t="s">
        <v>49</v>
      </c>
      <c r="C12" s="115">
        <f>COUNTIFS(TC!$A$2:$A$65000,B12,TC!$G$2:$G$65000,"PASS")</f>
      </c>
      <c r="D12" s="123">
        <f>COUNTIFS(TC!$A$2:$A$65000,B12,TC!$G$2:$G$65000,"FAIL")</f>
      </c>
      <c r="E12" s="131">
        <f>COUNTIFS(TC!$A$2:$A$65000,B12,TC!$G$2:$G$65000,"SKIP")</f>
      </c>
      <c r="F12" s="139">
        <f>COUNTIF(TC!$A$2:$A$64788,B12)</f>
      </c>
      <c r="G12" s="148">
        <f>IF(F12=0,0,(C12+D12)/F12)</f>
      </c>
      <c r="H12" s="156">
        <f>IF((F12-E12)=0,0,C12/(F12-E12))</f>
      </c>
      <c r="I12" s="164">
        <f>IF((F12-E12)=0,0,D12/(F12-E12))</f>
      </c>
      <c r="J12" s="28"/>
    </row>
    <row customHeight="1" ht="13.5" r="13" spans="1:15">
      <c r="A13" s="32"/>
      <c r="B13" s="181" t="s">
        <v>329</v>
      </c>
      <c r="C13" s="189">
        <f>SUM(C12:C12)</f>
      </c>
      <c r="D13" s="197">
        <f>SUM(D12:D12)</f>
      </c>
      <c r="E13" s="205">
        <f>SUM(E12:E12)</f>
      </c>
      <c r="F13" s="213">
        <f>SUM(F12:F12)</f>
      </c>
      <c r="G13" s="223">
        <f>IF(F13=0,0,(C13+D13)/F13)</f>
      </c>
      <c r="H13" s="231">
        <f>IF((F13-E13)=0,0,(C13)/(F13-E13))</f>
      </c>
      <c r="I13" s="239">
        <f>IF((F13-E13)=0,0,(D13)/(F13-E13))</f>
      </c>
      <c r="J13" s="28"/>
    </row>
    <row customHeight="1" ht="19.5" r="14" spans="1:15">
      <c r="A14" s="28"/>
      <c r="B14" s="28"/>
      <c r="C14" s="28"/>
      <c r="D14" s="28"/>
      <c r="E14" s="28"/>
      <c r="F14" s="28"/>
      <c r="G14" s="28"/>
      <c r="H14" s="28"/>
      <c r="I14" s="28"/>
      <c r="J14" s="28"/>
      <c r="M14" s="35"/>
      <c r="N14" s="35"/>
      <c r="O14" s="35"/>
    </row>
    <row customHeight="1" ht="19.5" r="15" spans="1:1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35"/>
      <c r="M15" s="35"/>
      <c r="O15" s="35"/>
    </row>
    <row customHeight="1" ht="19.5" r="16" spans="1:1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35"/>
      <c r="M16" s="35"/>
      <c r="O16" s="35"/>
    </row>
    <row customHeight="1" ht="19.5" r="17" spans="1:1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35"/>
      <c r="M17" s="35"/>
      <c r="O17" s="35"/>
    </row>
    <row customHeight="1" ht="12.75" r="18" spans="1:15"/>
    <row customHeight="1" ht="12.75" r="19" spans="1:15"/>
    <row customHeight="1" ht="12.75" r="20" spans="1:15"/>
    <row customHeight="1" ht="12.75" r="21" spans="1:15"/>
    <row customHeight="1" ht="12.75" r="22" spans="1:15"/>
    <row customHeight="1" ht="12.75" r="23" spans="1:15"/>
    <row customHeight="1" ht="12.75" r="24" spans="1:15"/>
    <row customHeight="1" ht="12.75" r="25" spans="1:15"/>
    <row customHeight="1" ht="12.75" r="26" spans="1:15"/>
    <row customHeight="1" ht="12.75" r="27" spans="1:15"/>
    <row customHeight="1" ht="12.75" r="28" spans="1:15"/>
    <row customHeight="1" ht="12.75" r="29" spans="1:15"/>
    <row customHeight="1" ht="12.75" r="30" spans="1:15"/>
    <row customHeight="1" ht="12.75" r="31" spans="1:15"/>
    <row customHeight="1" ht="12.75" r="32" spans="1:15"/>
    <row customHeight="1" ht="12.75" r="33"/>
    <row customHeight="1" ht="12.75" r="34"/>
    <row customHeight="1" ht="12.75" r="35"/>
    <row customHeight="1" ht="12.75" r="36"/>
    <row customHeight="1" ht="12.75" r="37"/>
    <row customHeight="1" ht="12.75" r="38"/>
    <row customHeight="1" ht="12.75" r="39"/>
    <row customHeight="1" ht="12.75" r="40"/>
    <row customHeight="1" ht="12.75" r="41"/>
    <row customHeight="1" ht="12.75" r="42"/>
    <row customHeight="1" ht="12.75" r="43"/>
    <row customHeight="1" ht="12.75" r="44"/>
    <row customHeight="1" ht="12.75" r="45"/>
    <row customHeight="1" ht="12.75" r="46"/>
    <row customHeight="1" ht="12.75" r="47"/>
    <row customHeight="1" ht="12.75" r="48"/>
    <row customHeight="1" ht="12.75" r="49"/>
    <row customHeight="1" ht="12.75" r="50"/>
    <row customHeight="1" ht="12.75" r="51"/>
    <row customHeight="1" ht="12.75" r="52"/>
    <row customHeight="1" ht="12.75" r="53"/>
    <row customHeight="1" ht="12.75" r="54"/>
    <row customHeight="1" ht="12.75" r="55"/>
    <row customHeight="1" ht="12.75" r="56"/>
    <row customHeight="1" ht="12.75" r="57"/>
    <row customHeight="1" ht="12.75" r="58"/>
    <row customHeight="1" ht="12.75" r="59"/>
    <row customHeight="1" ht="12.75" r="60"/>
    <row customHeight="1" ht="12.75" r="61"/>
    <row customHeight="1" ht="12.75" r="62"/>
    <row customHeight="1" ht="12.75" r="63"/>
    <row customHeight="1" ht="12.75" r="64"/>
    <row customHeight="1" ht="12.75" r="65"/>
    <row customHeight="1" ht="12.75" r="66"/>
    <row customHeight="1" ht="12.75" r="67"/>
    <row customHeight="1" ht="12.75" r="68"/>
    <row customHeight="1" ht="12.75" r="69"/>
    <row customHeight="1" ht="12.75" r="70"/>
    <row customHeight="1" ht="12.75" r="71"/>
    <row customHeight="1" ht="12.75" r="72"/>
    <row customHeight="1" ht="12.75" r="73"/>
    <row customHeight="1" ht="12.75" r="74"/>
    <row customHeight="1" ht="12.75" r="75"/>
    <row customHeight="1" ht="12.75" r="76"/>
    <row customHeight="1" ht="12.75" r="77"/>
    <row customHeight="1" ht="12.75" r="78"/>
    <row customHeight="1" ht="12.75" r="79"/>
    <row customHeight="1" ht="12.75" r="80"/>
    <row customHeight="1" ht="12.75" r="81"/>
    <row customHeight="1" ht="12.75" r="82"/>
    <row customHeight="1" ht="12.75" r="83"/>
    <row customHeight="1" ht="12.75" r="84"/>
    <row customHeight="1" ht="12.75" r="85"/>
    <row customHeight="1" ht="12.75" r="86"/>
    <row customHeight="1" ht="12.75" r="87"/>
    <row customHeight="1" ht="12.75" r="88"/>
    <row customHeight="1" ht="12.75" r="89"/>
    <row customHeight="1" ht="12.75" r="90"/>
    <row customHeight="1" ht="12.75" r="91"/>
    <row customHeight="1" ht="12.75" r="92"/>
    <row customHeight="1" ht="12.75" r="93"/>
    <row customHeight="1" ht="12.75" r="94"/>
    <row customHeight="1" ht="12.75" r="95"/>
    <row customHeight="1" ht="12.75" r="96"/>
    <row customHeight="1" ht="12.75" r="97"/>
    <row customHeight="1" ht="12.75" r="98"/>
    <row customHeight="1" ht="12.75" r="99"/>
    <row customHeight="1" ht="12.75" r="100"/>
    <row customHeight="1" ht="12.75" r="101"/>
    <row customHeight="1" ht="12.75" r="102"/>
    <row customHeight="1" ht="12.75" r="103"/>
    <row customHeight="1" ht="12.75" r="104"/>
    <row customHeight="1" ht="12.75" r="105"/>
    <row customHeight="1" ht="12.75" r="106"/>
    <row customHeight="1" ht="12.75" r="107"/>
    <row customHeight="1" ht="12.75" r="108"/>
    <row customHeight="1" ht="12.75" r="109"/>
    <row customHeight="1" ht="12.75" r="110"/>
    <row customHeight="1" ht="12.75" r="111"/>
    <row customHeight="1" ht="12.75" r="112"/>
    <row customHeight="1" ht="12.75" r="113"/>
    <row customHeight="1" ht="12.75" r="114"/>
    <row customHeight="1" ht="12.75" r="115"/>
    <row customHeight="1" ht="12.75" r="116"/>
    <row customHeight="1" ht="12.75" r="117"/>
    <row customHeight="1" ht="12.75" r="118"/>
    <row customHeight="1" ht="12.75" r="119"/>
    <row customHeight="1" ht="12.75" r="120"/>
    <row customHeight="1" ht="12.75" r="121"/>
    <row customHeight="1" ht="12.75" r="122"/>
    <row customHeight="1" ht="12.75" r="123"/>
    <row customHeight="1" ht="12.75" r="124"/>
    <row customHeight="1" ht="12.75" r="125"/>
    <row customHeight="1" ht="12.75" r="126"/>
    <row customHeight="1" ht="12.75" r="127"/>
    <row customHeight="1" ht="12.75" r="128"/>
    <row customHeight="1" ht="12.75" r="129"/>
    <row customHeight="1" ht="12.75" r="130"/>
    <row customHeight="1" ht="12.75" r="131"/>
    <row customHeight="1" ht="12.75" r="132"/>
    <row customHeight="1" ht="12.75" r="133"/>
    <row customHeight="1" ht="12.75" r="134"/>
    <row customHeight="1" ht="12.75" r="135"/>
    <row customHeight="1" ht="12.75" r="136"/>
    <row customHeight="1" ht="12.75" r="137"/>
    <row customHeight="1" ht="12.75" r="138"/>
    <row customHeight="1" ht="12.75" r="139"/>
    <row customHeight="1" ht="12.75" r="140"/>
    <row customHeight="1" ht="12.75" r="141"/>
    <row customHeight="1" ht="12.75" r="142"/>
    <row customHeight="1" ht="12.75" r="143"/>
    <row customHeight="1" ht="12.75" r="144"/>
    <row customHeight="1" ht="12.75" r="145"/>
    <row customHeight="1" ht="12.75" r="146"/>
    <row customHeight="1" ht="12.75" r="147"/>
    <row customHeight="1" ht="12.75" r="148"/>
    <row customHeight="1" ht="12.75" r="149"/>
    <row customHeight="1" ht="12.75" r="150"/>
    <row customHeight="1" ht="12.75" r="151"/>
    <row customHeight="1" ht="12.75" r="152"/>
    <row customHeight="1" ht="12.75" r="153"/>
    <row customHeight="1" ht="12.75" r="154"/>
    <row customHeight="1" ht="12.75" r="155"/>
    <row customHeight="1" ht="12.75" r="156"/>
    <row customHeight="1" ht="12.75" r="157"/>
    <row customHeight="1" ht="12.75" r="158"/>
    <row customHeight="1" ht="12.75" r="159"/>
    <row customHeight="1" ht="12.75" r="160"/>
    <row customHeight="1" ht="12.75" r="161"/>
    <row customHeight="1" ht="12.75" r="162"/>
    <row customHeight="1" ht="12.75" r="163"/>
    <row customHeight="1" ht="12.75" r="164"/>
    <row customHeight="1" ht="12.75" r="165"/>
    <row customHeight="1" ht="12.75" r="166"/>
    <row customHeight="1" ht="12.75" r="167"/>
    <row customHeight="1" ht="12.75" r="168"/>
    <row customHeight="1" ht="12.75" r="169"/>
    <row customHeight="1" ht="12.75" r="170"/>
    <row customHeight="1" ht="12.75" r="171"/>
    <row customHeight="1" ht="12.75" r="172"/>
    <row customHeight="1" ht="12.75" r="173"/>
    <row customHeight="1" ht="12.75" r="174"/>
    <row customHeight="1" ht="12.75" r="175"/>
    <row customHeight="1" ht="12.75" r="176"/>
    <row customHeight="1" ht="12.75" r="177"/>
    <row customHeight="1" ht="12.75" r="178"/>
    <row customHeight="1" ht="12.75" r="179"/>
    <row customHeight="1" ht="12.75" r="180"/>
    <row customHeight="1" ht="12.75" r="181"/>
    <row customHeight="1" ht="12.75" r="182"/>
    <row customHeight="1" ht="12.75" r="183"/>
    <row customHeight="1" ht="12.75" r="184"/>
    <row customHeight="1" ht="12.75" r="185"/>
    <row customHeight="1" ht="12.75" r="186"/>
    <row customHeight="1" ht="12.75" r="187"/>
    <row customHeight="1" ht="12.75" r="188"/>
    <row customHeight="1" ht="12.75" r="189"/>
    <row customHeight="1" ht="12.75" r="190"/>
    <row customHeight="1" ht="12.75" r="191"/>
    <row customHeight="1" ht="12.75" r="192"/>
    <row customHeight="1" ht="12.75" r="193"/>
    <row customHeight="1" ht="12.75" r="194"/>
    <row customHeight="1" ht="12.75" r="195"/>
    <row customHeight="1" ht="12.75" r="196"/>
    <row customHeight="1" ht="12.75" r="197"/>
    <row customHeight="1" ht="12.75" r="198"/>
    <row customHeight="1" ht="12.75" r="199"/>
    <row customHeight="1" ht="12.75" r="200"/>
    <row customHeight="1" ht="12.75" r="201"/>
    <row customHeight="1" ht="12.75" r="202"/>
    <row customHeight="1" ht="12.75" r="203"/>
    <row customHeight="1" ht="12.75" r="204"/>
    <row customHeight="1" ht="12.75" r="205"/>
    <row customHeight="1" ht="12.75" r="206"/>
    <row customHeight="1" ht="12.75" r="207"/>
    <row customHeight="1" ht="12.75" r="208"/>
    <row customHeight="1" ht="12.75" r="209"/>
    <row customHeight="1" ht="12.75" r="210"/>
    <row customHeight="1" ht="12.75" r="211"/>
    <row customHeight="1" ht="12.75" r="212"/>
    <row customHeight="1" ht="12.75" r="213"/>
    <row customHeight="1" ht="12.75" r="214"/>
    <row customHeight="1" ht="12.75" r="215"/>
    <row customHeight="1" ht="12.75" r="216"/>
    <row customHeight="1" ht="12.75" r="217"/>
    <row customHeight="1" ht="12.75" r="218"/>
    <row customHeight="1" ht="12.75" r="219"/>
    <row customHeight="1" ht="12.75" r="220"/>
    <row customHeight="1" ht="12.75" r="221"/>
    <row customHeight="1" ht="12.75" r="222"/>
    <row customHeight="1" ht="12.75" r="223"/>
    <row customHeight="1" ht="12.75" r="224"/>
    <row customHeight="1" ht="12.75" r="225"/>
    <row customHeight="1" ht="12.75" r="226"/>
    <row customHeight="1" ht="12.75" r="227"/>
    <row customHeight="1" ht="12.75" r="228"/>
    <row customHeight="1" ht="12.75" r="229"/>
    <row customHeight="1" ht="12.75" r="230"/>
    <row customHeight="1" ht="12.75" r="231"/>
    <row customHeight="1" ht="12.75" r="232"/>
    <row customHeight="1" ht="12.75" r="233"/>
    <row customHeight="1" ht="12.75" r="234"/>
    <row customHeight="1" ht="12.75" r="235"/>
    <row customHeight="1" ht="12.75" r="236"/>
    <row customHeight="1" ht="12.75" r="237"/>
    <row customHeight="1" ht="12.75" r="238"/>
    <row customHeight="1" ht="12.75" r="239"/>
    <row customHeight="1" ht="12.75" r="240"/>
    <row customHeight="1" ht="12.75" r="241"/>
    <row customHeight="1" ht="12.75" r="242"/>
    <row customHeight="1" ht="12.75" r="243"/>
    <row customHeight="1" ht="12.75" r="244"/>
    <row customHeight="1" ht="12.75" r="245"/>
    <row customHeight="1" ht="12.75" r="246"/>
    <row customHeight="1" ht="12.75" r="247"/>
    <row customHeight="1" ht="12.75" r="248"/>
    <row customHeight="1" ht="12.75" r="249"/>
    <row customHeight="1" ht="12.75" r="250"/>
    <row customHeight="1" ht="12.75" r="251"/>
    <row customHeight="1" ht="12.75" r="252"/>
    <row customHeight="1" ht="12.75" r="253"/>
    <row customHeight="1" ht="12.75" r="254"/>
    <row customHeight="1" ht="12.75" r="255"/>
    <row customHeight="1" ht="12.75" r="256"/>
    <row customHeight="1" ht="12.75" r="257"/>
    <row customHeight="1" ht="12.75" r="258"/>
    <row customHeight="1" ht="12.75" r="259"/>
    <row customHeight="1" ht="12.75" r="260"/>
    <row customHeight="1" ht="12.75" r="261"/>
    <row customHeight="1" ht="12.75" r="262"/>
    <row customHeight="1" ht="12.75" r="263"/>
    <row customHeight="1" ht="12.75" r="264"/>
    <row customHeight="1" ht="12.75" r="265"/>
    <row customHeight="1" ht="12.75" r="266"/>
    <row customHeight="1" ht="12.75" r="267"/>
    <row customHeight="1" ht="12.75" r="268"/>
    <row customHeight="1" ht="12.75" r="269"/>
    <row customHeight="1" ht="12.75" r="270"/>
    <row customHeight="1" ht="12.75" r="271"/>
    <row customHeight="1" ht="12.75" r="272"/>
    <row customHeight="1" ht="12.75" r="273"/>
    <row customHeight="1" ht="12.75" r="274"/>
    <row customHeight="1" ht="12.75" r="275"/>
    <row customHeight="1" ht="12.75" r="276"/>
    <row customHeight="1" ht="12.75" r="277"/>
    <row customHeight="1" ht="12.75" r="278"/>
    <row customHeight="1" ht="12.75" r="279"/>
    <row customHeight="1" ht="12.75" r="280"/>
    <row customHeight="1" ht="12.75" r="281"/>
    <row customHeight="1" ht="12.75" r="282"/>
    <row customHeight="1" ht="12.75" r="283"/>
    <row customHeight="1" ht="12.75" r="284"/>
    <row customHeight="1" ht="12.75" r="285"/>
    <row customHeight="1" ht="12.75" r="286"/>
    <row customHeight="1" ht="12.75" r="287"/>
    <row customHeight="1" ht="12.75" r="288"/>
    <row customHeight="1" ht="12.75" r="289"/>
    <row customHeight="1" ht="12.75" r="290"/>
    <row customHeight="1" ht="12.75" r="291"/>
    <row customHeight="1" ht="12.75" r="292"/>
    <row customHeight="1" ht="12.75" r="293"/>
    <row customHeight="1" ht="12.75" r="294"/>
    <row customHeight="1" ht="12.75" r="295"/>
    <row customHeight="1" ht="12.75" r="296"/>
    <row customHeight="1" ht="12.75" r="297"/>
    <row customHeight="1" ht="12.75" r="298"/>
    <row customHeight="1" ht="12.75" r="299"/>
    <row customHeight="1" ht="12.75" r="300"/>
    <row customHeight="1" ht="12.75" r="301"/>
    <row customHeight="1" ht="12.75" r="302"/>
    <row customHeight="1" ht="12.75" r="303"/>
    <row customHeight="1" ht="12.75" r="304"/>
    <row customHeight="1" ht="12.75" r="305"/>
    <row customHeight="1" ht="12.75" r="306"/>
    <row customHeight="1" ht="12.75" r="307"/>
    <row customHeight="1" ht="12.75" r="308"/>
    <row customHeight="1" ht="12.75" r="309"/>
    <row customHeight="1" ht="12.75" r="310"/>
    <row customHeight="1" ht="12.75" r="311"/>
    <row customHeight="1" ht="12.75" r="312"/>
    <row customHeight="1" ht="12.75" r="313"/>
    <row customHeight="1" ht="12.75" r="314"/>
    <row customHeight="1" ht="12.75" r="315"/>
    <row customHeight="1" ht="12.75" r="316"/>
    <row customHeight="1" ht="12.75" r="317"/>
    <row customHeight="1" ht="12.75" r="318"/>
    <row customHeight="1" ht="12.75" r="319"/>
    <row customHeight="1" ht="12.75" r="320"/>
    <row customHeight="1" ht="12.75" r="321"/>
    <row customHeight="1" ht="12.75" r="322"/>
    <row customHeight="1" ht="12.75" r="323"/>
    <row customHeight="1" ht="12.75" r="324"/>
    <row customHeight="1" ht="12.75" r="325"/>
    <row customHeight="1" ht="12.75" r="326"/>
    <row customHeight="1" ht="12.75" r="327"/>
    <row customHeight="1" ht="12.75" r="328"/>
    <row customHeight="1" ht="12.75" r="329"/>
    <row customHeight="1" ht="12.75" r="330"/>
    <row customHeight="1" ht="12.75" r="331"/>
    <row customHeight="1" ht="12.75" r="332"/>
    <row customHeight="1" ht="12.75" r="333"/>
    <row customHeight="1" ht="12.75" r="334"/>
    <row customHeight="1" ht="12.75" r="335"/>
    <row customHeight="1" ht="12.75" r="336"/>
    <row customHeight="1" ht="12.75" r="337"/>
    <row customHeight="1" ht="12.75" r="338"/>
    <row customHeight="1" ht="12.75" r="339"/>
    <row customHeight="1" ht="12.75" r="340"/>
    <row customHeight="1" ht="12.75" r="341"/>
    <row customHeight="1" ht="12.75" r="342"/>
    <row customHeight="1" ht="12.75" r="343"/>
    <row customHeight="1" ht="12.75" r="344"/>
    <row customHeight="1" ht="12.75" r="345"/>
    <row customHeight="1" ht="12.75" r="346"/>
    <row customHeight="1" ht="12.75" r="347"/>
    <row customHeight="1" ht="12.75" r="348"/>
    <row customHeight="1" ht="12.75" r="349"/>
    <row customHeight="1" ht="12.75" r="350"/>
    <row customHeight="1" ht="12.75" r="351"/>
    <row customHeight="1" ht="12.75" r="352"/>
    <row customHeight="1" ht="12.75" r="353"/>
    <row customHeight="1" ht="12.75" r="354"/>
    <row customHeight="1" ht="12.75" r="355"/>
    <row customHeight="1" ht="12.75" r="356"/>
    <row customHeight="1" ht="12.75" r="357"/>
    <row customHeight="1" ht="12.75" r="358"/>
    <row customHeight="1" ht="12.75" r="359"/>
    <row customHeight="1" ht="12.75" r="360"/>
    <row customHeight="1" ht="12.75" r="361"/>
    <row customHeight="1" ht="12.75" r="362"/>
    <row customHeight="1" ht="12.75" r="363"/>
    <row customHeight="1" ht="12.75" r="364"/>
    <row customHeight="1" ht="12.75" r="365"/>
    <row customHeight="1" ht="12.75" r="366"/>
    <row customHeight="1" ht="12.75" r="367"/>
    <row customHeight="1" ht="12.75" r="368"/>
    <row customHeight="1" ht="12.75" r="369"/>
    <row customHeight="1" ht="12.75" r="370"/>
    <row customHeight="1" ht="12.75" r="371"/>
    <row customHeight="1" ht="12.75" r="372"/>
    <row customHeight="1" ht="12.75" r="373"/>
    <row customHeight="1" ht="12.75" r="374"/>
    <row customHeight="1" ht="12.75" r="375"/>
    <row customHeight="1" ht="12.75" r="376"/>
    <row customHeight="1" ht="12.75" r="377"/>
    <row customHeight="1" ht="12.75" r="378"/>
    <row customHeight="1" ht="12.75" r="379"/>
    <row customHeight="1" ht="12.75" r="380"/>
    <row customHeight="1" ht="12.75" r="381"/>
    <row customHeight="1" ht="12.75" r="382"/>
    <row customHeight="1" ht="12.75" r="383"/>
    <row customHeight="1" ht="12.75" r="384"/>
    <row customHeight="1" ht="12.75" r="385"/>
    <row customHeight="1" ht="12.75" r="386"/>
    <row customHeight="1" ht="12.75" r="387"/>
    <row customHeight="1" ht="12.75" r="388"/>
    <row customHeight="1" ht="12.75" r="389"/>
    <row customHeight="1" ht="12.75" r="390"/>
    <row customHeight="1" ht="12.75" r="391"/>
    <row customHeight="1" ht="12.75" r="392"/>
    <row customHeight="1" ht="12.75" r="393"/>
    <row customHeight="1" ht="12.75" r="394"/>
    <row customHeight="1" ht="12.75" r="395"/>
    <row customHeight="1" ht="12.75" r="396"/>
    <row customHeight="1" ht="12.75" r="397"/>
    <row customHeight="1" ht="12.75" r="398"/>
    <row customHeight="1" ht="12.75" r="399"/>
    <row customHeight="1" ht="12.75" r="400"/>
    <row customHeight="1" ht="12.75" r="401"/>
    <row customHeight="1" ht="12.75" r="402"/>
    <row customHeight="1" ht="12.75" r="403"/>
    <row customHeight="1" ht="12.75" r="404"/>
    <row customHeight="1" ht="12.75" r="405"/>
    <row customHeight="1" ht="12.75" r="406"/>
    <row customHeight="1" ht="12.75" r="407"/>
    <row customHeight="1" ht="12.75" r="408"/>
    <row customHeight="1" ht="12.75" r="409"/>
    <row customHeight="1" ht="12.75" r="410"/>
    <row customHeight="1" ht="12.75" r="411"/>
    <row customHeight="1" ht="12.75" r="412"/>
    <row customHeight="1" ht="12.75" r="413"/>
    <row customHeight="1" ht="12.75" r="414"/>
    <row customHeight="1" ht="12.75" r="415"/>
    <row customHeight="1" ht="12.75" r="416"/>
    <row customHeight="1" ht="12.75" r="417"/>
    <row customHeight="1" ht="12.75" r="418"/>
    <row customHeight="1" ht="12.75" r="419"/>
    <row customHeight="1" ht="12.75" r="420"/>
    <row customHeight="1" ht="12.75" r="421"/>
    <row customHeight="1" ht="12.75" r="422"/>
    <row customHeight="1" ht="12.75" r="423"/>
    <row customHeight="1" ht="12.75" r="424"/>
    <row customHeight="1" ht="12.75" r="425"/>
    <row customHeight="1" ht="12.75" r="426"/>
    <row customHeight="1" ht="12.75" r="427"/>
    <row customHeight="1" ht="12.75" r="428"/>
    <row customHeight="1" ht="12.75" r="429"/>
    <row customHeight="1" ht="12.75" r="430"/>
    <row customHeight="1" ht="12.75" r="431"/>
    <row customHeight="1" ht="12.75" r="432"/>
    <row customHeight="1" ht="12.75" r="433"/>
    <row customHeight="1" ht="12.75" r="434"/>
    <row customHeight="1" ht="12.75" r="435"/>
    <row customHeight="1" ht="12.75" r="436"/>
    <row customHeight="1" ht="12.75" r="437"/>
    <row customHeight="1" ht="12.75" r="438"/>
    <row customHeight="1" ht="12.75" r="439"/>
    <row customHeight="1" ht="12.75" r="440"/>
    <row customHeight="1" ht="12.75" r="441"/>
    <row customHeight="1" ht="12.75" r="442"/>
    <row customHeight="1" ht="12.75" r="443"/>
    <row customHeight="1" ht="12.75" r="444"/>
    <row customHeight="1" ht="12.75" r="445"/>
    <row customHeight="1" ht="12.75" r="446"/>
    <row customHeight="1" ht="12.75" r="447"/>
    <row customHeight="1" ht="12.75" r="448"/>
    <row customHeight="1" ht="12.75" r="449"/>
    <row customHeight="1" ht="12.75" r="450"/>
    <row customHeight="1" ht="12.75" r="451"/>
    <row customHeight="1" ht="12.75" r="452"/>
    <row customHeight="1" ht="12.75" r="453"/>
    <row customHeight="1" ht="12.75" r="454"/>
    <row customHeight="1" ht="12.75" r="455"/>
    <row customHeight="1" ht="12.75" r="456"/>
    <row customHeight="1" ht="12.75" r="457"/>
    <row customHeight="1" ht="12.75" r="458"/>
    <row customHeight="1" ht="12.75" r="459"/>
    <row customHeight="1" ht="12.75" r="460"/>
    <row customHeight="1" ht="12.75" r="461"/>
    <row customHeight="1" ht="12.75" r="462"/>
    <row customHeight="1" ht="12.75" r="463"/>
    <row customHeight="1" ht="12.75" r="464"/>
    <row customHeight="1" ht="12.75" r="465"/>
    <row customHeight="1" ht="12.75" r="466"/>
    <row customHeight="1" ht="12.75" r="467"/>
    <row customHeight="1" ht="12.75" r="468"/>
    <row customHeight="1" ht="12.75" r="469"/>
    <row customHeight="1" ht="12.75" r="470"/>
    <row customHeight="1" ht="12.75" r="471"/>
    <row customHeight="1" ht="12.75" r="472"/>
    <row customHeight="1" ht="12.75" r="473"/>
    <row customHeight="1" ht="12.75" r="474"/>
    <row customHeight="1" ht="12.75" r="475"/>
    <row customHeight="1" ht="12.75" r="476"/>
    <row customHeight="1" ht="12.75" r="477"/>
    <row customHeight="1" ht="12.75" r="478"/>
    <row customHeight="1" ht="12.75" r="479"/>
    <row customHeight="1" ht="12.75" r="480"/>
    <row customHeight="1" ht="12.75" r="481"/>
    <row customHeight="1" ht="12.75" r="482"/>
    <row customHeight="1" ht="12.75" r="483"/>
    <row customHeight="1" ht="12.75" r="484"/>
    <row customHeight="1" ht="12.75" r="485"/>
    <row customHeight="1" ht="12.75" r="486"/>
    <row customHeight="1" ht="12.75" r="487"/>
    <row customHeight="1" ht="12.75" r="488"/>
    <row customHeight="1" ht="12.75" r="489"/>
    <row customHeight="1" ht="12.75" r="490"/>
    <row customHeight="1" ht="12.75" r="491"/>
    <row customHeight="1" ht="12.75" r="492"/>
    <row customHeight="1" ht="12.75" r="493"/>
    <row customHeight="1" ht="12.75" r="494"/>
    <row customHeight="1" ht="12.75" r="495"/>
    <row customHeight="1" ht="12.75" r="496"/>
    <row customHeight="1" ht="12.75" r="497"/>
    <row customHeight="1" ht="12.75" r="498"/>
    <row customHeight="1" ht="12.75" r="499"/>
    <row customHeight="1" ht="12.75" r="500"/>
    <row customHeight="1" ht="12.75" r="501"/>
    <row customHeight="1" ht="12.75" r="502"/>
    <row customHeight="1" ht="12.75" r="503"/>
    <row customHeight="1" ht="12.75" r="504"/>
    <row customHeight="1" ht="12.75" r="505"/>
    <row customHeight="1" ht="12.75" r="506"/>
    <row customHeight="1" ht="12.75" r="507"/>
    <row customHeight="1" ht="12.75" r="508"/>
    <row customHeight="1" ht="12.75" r="509"/>
    <row customHeight="1" ht="12.75" r="510"/>
    <row customHeight="1" ht="12.75" r="511"/>
    <row customHeight="1" ht="12.75" r="512"/>
    <row customHeight="1" ht="12.75" r="513"/>
    <row customHeight="1" ht="12.75" r="514"/>
    <row customHeight="1" ht="12.75" r="515"/>
    <row customHeight="1" ht="12.75" r="516"/>
    <row customHeight="1" ht="12.75" r="517"/>
    <row customHeight="1" ht="12.75" r="518"/>
    <row customHeight="1" ht="12.75" r="519"/>
    <row customHeight="1" ht="12.75" r="520"/>
    <row customHeight="1" ht="12.75" r="521"/>
    <row customHeight="1" ht="12.75" r="522"/>
    <row customHeight="1" ht="12.75" r="523"/>
    <row customHeight="1" ht="12.75" r="524"/>
    <row customHeight="1" ht="12.75" r="525"/>
    <row customHeight="1" ht="12.75" r="526"/>
    <row customHeight="1" ht="12.75" r="527"/>
    <row customHeight="1" ht="12.75" r="528"/>
    <row customHeight="1" ht="12.75" r="529"/>
    <row customHeight="1" ht="12.75" r="530"/>
    <row customHeight="1" ht="12.75" r="531"/>
    <row customHeight="1" ht="12.75" r="532"/>
    <row customHeight="1" ht="12.75" r="533"/>
    <row customHeight="1" ht="12.75" r="534"/>
    <row customHeight="1" ht="12.75" r="535"/>
    <row customHeight="1" ht="12.75" r="536"/>
    <row customHeight="1" ht="12.75" r="537"/>
    <row customHeight="1" ht="12.75" r="538"/>
    <row customHeight="1" ht="12.75" r="539"/>
    <row customHeight="1" ht="12.75" r="540"/>
    <row customHeight="1" ht="12.75" r="541"/>
    <row customHeight="1" ht="12.75" r="542"/>
    <row customHeight="1" ht="12.75" r="543"/>
    <row customHeight="1" ht="12.75" r="544"/>
    <row customHeight="1" ht="12.75" r="545"/>
    <row customHeight="1" ht="12.75" r="546"/>
    <row customHeight="1" ht="12.75" r="547"/>
    <row customHeight="1" ht="12.75" r="548"/>
    <row customHeight="1" ht="12.75" r="549"/>
    <row customHeight="1" ht="12.75" r="550"/>
    <row customHeight="1" ht="12.75" r="551"/>
    <row customHeight="1" ht="12.75" r="552"/>
    <row customHeight="1" ht="12.75" r="553"/>
    <row customHeight="1" ht="12.75" r="554"/>
    <row customHeight="1" ht="12.75" r="555"/>
    <row customHeight="1" ht="12.75" r="556"/>
    <row customHeight="1" ht="12.75" r="557"/>
    <row customHeight="1" ht="12.75" r="558"/>
    <row customHeight="1" ht="12.75" r="559"/>
    <row customHeight="1" ht="12.75" r="560"/>
    <row customHeight="1" ht="12.75" r="561"/>
    <row customHeight="1" ht="12.75" r="562"/>
    <row customHeight="1" ht="12.75" r="563"/>
    <row customHeight="1" ht="12.75" r="564"/>
    <row customHeight="1" ht="12.75" r="565"/>
    <row customHeight="1" ht="12.75" r="566"/>
    <row customHeight="1" ht="12.75" r="567"/>
    <row customHeight="1" ht="12.75" r="568"/>
    <row customHeight="1" ht="12.75" r="569"/>
    <row customHeight="1" ht="12.75" r="570"/>
    <row customHeight="1" ht="12.75" r="571"/>
    <row customHeight="1" ht="12.75" r="572"/>
    <row customHeight="1" ht="12.75" r="573"/>
    <row customHeight="1" ht="12.75" r="574"/>
    <row customHeight="1" ht="12.75" r="575"/>
    <row customHeight="1" ht="12.75" r="576"/>
    <row customHeight="1" ht="12.75" r="577"/>
    <row customHeight="1" ht="12.75" r="578"/>
    <row customHeight="1" ht="12.75" r="579"/>
    <row customHeight="1" ht="12.75" r="580"/>
    <row customHeight="1" ht="12.75" r="581"/>
    <row customHeight="1" ht="12.75" r="582"/>
    <row customHeight="1" ht="12.75" r="583"/>
    <row customHeight="1" ht="12.75" r="584"/>
    <row customHeight="1" ht="12.75" r="585"/>
    <row customHeight="1" ht="12.75" r="586"/>
    <row customHeight="1" ht="12.75" r="587"/>
    <row customHeight="1" ht="12.75" r="588"/>
    <row customHeight="1" ht="12.75" r="589"/>
    <row customHeight="1" ht="12.75" r="590"/>
    <row customHeight="1" ht="12.75" r="591"/>
    <row customHeight="1" ht="12.75" r="592"/>
    <row customHeight="1" ht="12.75" r="593"/>
    <row customHeight="1" ht="12.75" r="594"/>
    <row customHeight="1" ht="12.75" r="595"/>
    <row customHeight="1" ht="12.75" r="596"/>
    <row customHeight="1" ht="12.75" r="597"/>
    <row customHeight="1" ht="12.75" r="598"/>
    <row customHeight="1" ht="12.75" r="599"/>
    <row customHeight="1" ht="12.75" r="600"/>
    <row customHeight="1" ht="12.75" r="601"/>
    <row customHeight="1" ht="12.75" r="602"/>
    <row customHeight="1" ht="12.75" r="603"/>
    <row customHeight="1" ht="12.75" r="604"/>
    <row customHeight="1" ht="12.75" r="605"/>
    <row customHeight="1" ht="12.75" r="606"/>
    <row customHeight="1" ht="12.75" r="607"/>
    <row customHeight="1" ht="12.75" r="608"/>
    <row customHeight="1" ht="12.75" r="609"/>
    <row customHeight="1" ht="12.75" r="610"/>
    <row customHeight="1" ht="12.75" r="611"/>
    <row customHeight="1" ht="12.75" r="612"/>
    <row customHeight="1" ht="12.75" r="613"/>
    <row customHeight="1" ht="12.75" r="614"/>
    <row customHeight="1" ht="12.75" r="615"/>
    <row customHeight="1" ht="12.75" r="616"/>
    <row customHeight="1" ht="12.75" r="617"/>
    <row customHeight="1" ht="12.75" r="618"/>
    <row customHeight="1" ht="12.75" r="619"/>
    <row customHeight="1" ht="12.75" r="620"/>
    <row customHeight="1" ht="12.75" r="621"/>
    <row customHeight="1" ht="12.75" r="622"/>
    <row customHeight="1" ht="12.75" r="623"/>
    <row customHeight="1" ht="12.75" r="624"/>
    <row customHeight="1" ht="12.75" r="625"/>
    <row customHeight="1" ht="12.75" r="626"/>
    <row customHeight="1" ht="12.75" r="627"/>
    <row customHeight="1" ht="12.75" r="628"/>
    <row customHeight="1" ht="12.75" r="629"/>
    <row customHeight="1" ht="12.75" r="630"/>
    <row customHeight="1" ht="12.75" r="631"/>
    <row customHeight="1" ht="12.75" r="632"/>
    <row customHeight="1" ht="12.75" r="633"/>
    <row customHeight="1" ht="12.75" r="634"/>
    <row customHeight="1" ht="12.75" r="635"/>
    <row customHeight="1" ht="12.75" r="636"/>
    <row customHeight="1" ht="12.75" r="637"/>
    <row customHeight="1" ht="12.75" r="638"/>
    <row customHeight="1" ht="12.75" r="639"/>
    <row customHeight="1" ht="12.75" r="640"/>
    <row customHeight="1" ht="12.75" r="641"/>
    <row customHeight="1" ht="12.75" r="642"/>
    <row customHeight="1" ht="12.75" r="643"/>
    <row customHeight="1" ht="12.75" r="644"/>
    <row customHeight="1" ht="12.75" r="645"/>
    <row customHeight="1" ht="12.75" r="646"/>
    <row customHeight="1" ht="12.75" r="647"/>
    <row customHeight="1" ht="12.75" r="648"/>
    <row customHeight="1" ht="12.75" r="649"/>
    <row customHeight="1" ht="12.75" r="650"/>
    <row customHeight="1" ht="12.75" r="651"/>
    <row customHeight="1" ht="12.75" r="652"/>
    <row customHeight="1" ht="12.75" r="653"/>
    <row customHeight="1" ht="12.75" r="654"/>
    <row customHeight="1" ht="12.75" r="655"/>
    <row customHeight="1" ht="12.75" r="656"/>
    <row customHeight="1" ht="12.75" r="657"/>
    <row customHeight="1" ht="12.75" r="658"/>
    <row customHeight="1" ht="12.75" r="659"/>
    <row customHeight="1" ht="12.75" r="660"/>
    <row customHeight="1" ht="12.75" r="661"/>
    <row customHeight="1" ht="12.75" r="662"/>
    <row customHeight="1" ht="12.75" r="663"/>
    <row customHeight="1" ht="12.75" r="664"/>
    <row customHeight="1" ht="12.75" r="665"/>
    <row customHeight="1" ht="12.75" r="666"/>
    <row customHeight="1" ht="12.75" r="667"/>
    <row customHeight="1" ht="12.75" r="668"/>
    <row customHeight="1" ht="12.75" r="669"/>
    <row customHeight="1" ht="12.75" r="670"/>
    <row customHeight="1" ht="12.75" r="671"/>
    <row customHeight="1" ht="12.75" r="672"/>
    <row customHeight="1" ht="12.75" r="673"/>
    <row customHeight="1" ht="12.75" r="674"/>
    <row customHeight="1" ht="12.75" r="675"/>
    <row customHeight="1" ht="12.75" r="676"/>
    <row customHeight="1" ht="12.75" r="677"/>
    <row customHeight="1" ht="12.75" r="678"/>
    <row customHeight="1" ht="12.75" r="679"/>
    <row customHeight="1" ht="12.75" r="680"/>
    <row customHeight="1" ht="12.75" r="681"/>
    <row customHeight="1" ht="12.75" r="682"/>
    <row customHeight="1" ht="12.75" r="683"/>
    <row customHeight="1" ht="12.75" r="684"/>
    <row customHeight="1" ht="12.75" r="685"/>
    <row customHeight="1" ht="12.75" r="686"/>
    <row customHeight="1" ht="12.75" r="687"/>
    <row customHeight="1" ht="12.75" r="688"/>
    <row customHeight="1" ht="12.75" r="689"/>
    <row customHeight="1" ht="12.75" r="690"/>
    <row customHeight="1" ht="12.75" r="691"/>
    <row customHeight="1" ht="12.75" r="692"/>
    <row customHeight="1" ht="12.75" r="693"/>
    <row customHeight="1" ht="12.75" r="694"/>
    <row customHeight="1" ht="12.75" r="695"/>
    <row customHeight="1" ht="12.75" r="696"/>
    <row customHeight="1" ht="12.75" r="697"/>
    <row customHeight="1" ht="12.75" r="698"/>
    <row customHeight="1" ht="12.75" r="699"/>
    <row customHeight="1" ht="12.75" r="700"/>
    <row customHeight="1" ht="12.75" r="701"/>
    <row customHeight="1" ht="12.75" r="702"/>
    <row customHeight="1" ht="12.75" r="703"/>
    <row customHeight="1" ht="12.75" r="704"/>
    <row customHeight="1" ht="12.75" r="705"/>
    <row customHeight="1" ht="12.75" r="706"/>
    <row customHeight="1" ht="12.75" r="707"/>
    <row customHeight="1" ht="12.75" r="708"/>
    <row customHeight="1" ht="12.75" r="709"/>
    <row customHeight="1" ht="12.75" r="710"/>
    <row customHeight="1" ht="12.75" r="711"/>
    <row customHeight="1" ht="12.75" r="712"/>
    <row customHeight="1" ht="12.75" r="713"/>
    <row customHeight="1" ht="12.75" r="714"/>
    <row customHeight="1" ht="12.75" r="715"/>
    <row customHeight="1" ht="12.75" r="716"/>
    <row customHeight="1" ht="12.75" r="717"/>
    <row customHeight="1" ht="12.75" r="718"/>
    <row customHeight="1" ht="12.75" r="719"/>
    <row customHeight="1" ht="12.75" r="720"/>
    <row customHeight="1" ht="12.75" r="721"/>
    <row customHeight="1" ht="12.75" r="722"/>
    <row customHeight="1" ht="12.75" r="723"/>
    <row customHeight="1" ht="12.75" r="724"/>
    <row customHeight="1" ht="12.75" r="725"/>
    <row customHeight="1" ht="12.75" r="726"/>
    <row customHeight="1" ht="12.75" r="727"/>
    <row customHeight="1" ht="12.75" r="728"/>
    <row customHeight="1" ht="12.75" r="729"/>
    <row customHeight="1" ht="12.75" r="730"/>
    <row customHeight="1" ht="12.75" r="731"/>
    <row customHeight="1" ht="12.75" r="732"/>
    <row customHeight="1" ht="12.75" r="733"/>
    <row customHeight="1" ht="12.75" r="734"/>
    <row customHeight="1" ht="12.75" r="735"/>
    <row customHeight="1" ht="12.75" r="736"/>
    <row customHeight="1" ht="12.75" r="737"/>
    <row customHeight="1" ht="12.75" r="738"/>
    <row customHeight="1" ht="12.75" r="739"/>
    <row customHeight="1" ht="12.75" r="740"/>
    <row customHeight="1" ht="12.75" r="741"/>
    <row customHeight="1" ht="12.75" r="742"/>
    <row customHeight="1" ht="12.75" r="743"/>
    <row customHeight="1" ht="12.75" r="744"/>
    <row customHeight="1" ht="12.75" r="745"/>
    <row customHeight="1" ht="12.75" r="746"/>
    <row customHeight="1" ht="12.75" r="747"/>
    <row customHeight="1" ht="12.75" r="748"/>
    <row customHeight="1" ht="12.75" r="749"/>
    <row customHeight="1" ht="12.75" r="750"/>
    <row customHeight="1" ht="12.75" r="751"/>
    <row customHeight="1" ht="12.75" r="752"/>
    <row customHeight="1" ht="12.75" r="753"/>
    <row customHeight="1" ht="12.75" r="754"/>
    <row customHeight="1" ht="12.75" r="755"/>
    <row customHeight="1" ht="12.75" r="756"/>
    <row customHeight="1" ht="12.75" r="757"/>
    <row customHeight="1" ht="12.75" r="758"/>
    <row customHeight="1" ht="12.75" r="759"/>
    <row customHeight="1" ht="12.75" r="760"/>
    <row customHeight="1" ht="12.75" r="761"/>
    <row customHeight="1" ht="12.75" r="762"/>
    <row customHeight="1" ht="12.75" r="763"/>
    <row customHeight="1" ht="12.75" r="764"/>
    <row customHeight="1" ht="12.75" r="765"/>
    <row customHeight="1" ht="12.75" r="766"/>
    <row customHeight="1" ht="12.75" r="767"/>
    <row customHeight="1" ht="12.75" r="768"/>
    <row customHeight="1" ht="12.75" r="769"/>
    <row customHeight="1" ht="12.75" r="770"/>
    <row customHeight="1" ht="12.75" r="771"/>
    <row customHeight="1" ht="12.75" r="772"/>
    <row customHeight="1" ht="12.75" r="773"/>
    <row customHeight="1" ht="12.75" r="774"/>
    <row customHeight="1" ht="12.75" r="775"/>
    <row customHeight="1" ht="12.75" r="776"/>
    <row customHeight="1" ht="12.75" r="777"/>
    <row customHeight="1" ht="12.75" r="778"/>
    <row customHeight="1" ht="12.75" r="779"/>
    <row customHeight="1" ht="12.75" r="780"/>
    <row customHeight="1" ht="12.75" r="781"/>
    <row customHeight="1" ht="12.75" r="782"/>
    <row customHeight="1" ht="12.75" r="783"/>
    <row customHeight="1" ht="12.75" r="784"/>
    <row customHeight="1" ht="12.75" r="785"/>
    <row customHeight="1" ht="12.75" r="786"/>
    <row customHeight="1" ht="12.75" r="787"/>
    <row customHeight="1" ht="12.75" r="788"/>
    <row customHeight="1" ht="12.75" r="789"/>
    <row customHeight="1" ht="12.75" r="790"/>
    <row customHeight="1" ht="12.75" r="791"/>
    <row customHeight="1" ht="12.75" r="792"/>
    <row customHeight="1" ht="12.75" r="793"/>
    <row customHeight="1" ht="12.75" r="794"/>
    <row customHeight="1" ht="12.75" r="795"/>
    <row customHeight="1" ht="12.75" r="796"/>
    <row customHeight="1" ht="12.75" r="797"/>
    <row customHeight="1" ht="12.75" r="798"/>
    <row customHeight="1" ht="12.75" r="799"/>
    <row customHeight="1" ht="12.75" r="800"/>
    <row customHeight="1" ht="12.75" r="801"/>
    <row customHeight="1" ht="12.75" r="802"/>
    <row customHeight="1" ht="12.75" r="803"/>
    <row customHeight="1" ht="12.75" r="804"/>
    <row customHeight="1" ht="12.75" r="805"/>
    <row customHeight="1" ht="12.75" r="806"/>
    <row customHeight="1" ht="12.75" r="807"/>
    <row customHeight="1" ht="12.75" r="808"/>
    <row customHeight="1" ht="12.75" r="809"/>
    <row customHeight="1" ht="12.75" r="810"/>
    <row customHeight="1" ht="12.75" r="811"/>
    <row customHeight="1" ht="12.75" r="812"/>
    <row customHeight="1" ht="12.75" r="813"/>
    <row customHeight="1" ht="12.75" r="814"/>
    <row customHeight="1" ht="12.75" r="815"/>
    <row customHeight="1" ht="12.75" r="816"/>
    <row customHeight="1" ht="12.75" r="817"/>
    <row customHeight="1" ht="12.75" r="818"/>
    <row customHeight="1" ht="12.75" r="819"/>
    <row customHeight="1" ht="12.75" r="820"/>
    <row customHeight="1" ht="12.75" r="821"/>
    <row customHeight="1" ht="12.75" r="822"/>
    <row customHeight="1" ht="12.75" r="823"/>
    <row customHeight="1" ht="12.75" r="824"/>
    <row customHeight="1" ht="12.75" r="825"/>
    <row customHeight="1" ht="12.75" r="826"/>
    <row customHeight="1" ht="12.75" r="827"/>
    <row customHeight="1" ht="12.75" r="828"/>
    <row customHeight="1" ht="12.75" r="829"/>
    <row customHeight="1" ht="12.75" r="830"/>
    <row customHeight="1" ht="12.75" r="831"/>
    <row customHeight="1" ht="12.75" r="832"/>
    <row customHeight="1" ht="12.75" r="833"/>
    <row customHeight="1" ht="12.75" r="834"/>
    <row customHeight="1" ht="12.75" r="835"/>
    <row customHeight="1" ht="12.75" r="836"/>
    <row customHeight="1" ht="12.75" r="837"/>
    <row customHeight="1" ht="12.75" r="838"/>
    <row customHeight="1" ht="12.75" r="839"/>
    <row customHeight="1" ht="12.75" r="840"/>
    <row customHeight="1" ht="12.75" r="841"/>
    <row customHeight="1" ht="12.75" r="842"/>
    <row customHeight="1" ht="12.75" r="843"/>
    <row customHeight="1" ht="12.75" r="844"/>
    <row customHeight="1" ht="12.75" r="845"/>
    <row customHeight="1" ht="12.75" r="846"/>
    <row customHeight="1" ht="12.75" r="847"/>
    <row customHeight="1" ht="12.75" r="848"/>
    <row customHeight="1" ht="12.75" r="849"/>
    <row customHeight="1" ht="12.75" r="850"/>
    <row customHeight="1" ht="12.75" r="851"/>
    <row customHeight="1" ht="12.75" r="852"/>
    <row customHeight="1" ht="12.75" r="853"/>
    <row customHeight="1" ht="12.75" r="854"/>
    <row customHeight="1" ht="12.75" r="855"/>
    <row customHeight="1" ht="12.75" r="856"/>
    <row customHeight="1" ht="12.75" r="857"/>
    <row customHeight="1" ht="12.75" r="858"/>
    <row customHeight="1" ht="12.75" r="859"/>
    <row customHeight="1" ht="12.75" r="860"/>
    <row customHeight="1" ht="12.75" r="861"/>
    <row customHeight="1" ht="12.75" r="862"/>
    <row customHeight="1" ht="12.75" r="863"/>
    <row customHeight="1" ht="12.75" r="864"/>
    <row customHeight="1" ht="12.75" r="865"/>
    <row customHeight="1" ht="12.75" r="866"/>
    <row customHeight="1" ht="12.75" r="867"/>
    <row customHeight="1" ht="12.75" r="868"/>
    <row customHeight="1" ht="12.75" r="869"/>
    <row customHeight="1" ht="12.75" r="870"/>
    <row customHeight="1" ht="12.75" r="871"/>
    <row customHeight="1" ht="12.75" r="872"/>
    <row customHeight="1" ht="12.75" r="873"/>
    <row customHeight="1" ht="12.75" r="874"/>
    <row customHeight="1" ht="12.75" r="875"/>
    <row customHeight="1" ht="12.75" r="876"/>
    <row customHeight="1" ht="12.75" r="877"/>
    <row customHeight="1" ht="12.75" r="878"/>
    <row customHeight="1" ht="12.75" r="879"/>
    <row customHeight="1" ht="12.75" r="880"/>
    <row customHeight="1" ht="12.75" r="881"/>
    <row customHeight="1" ht="12.75" r="882"/>
    <row customHeight="1" ht="12.75" r="883"/>
    <row customHeight="1" ht="12.75" r="884"/>
    <row customHeight="1" ht="12.75" r="885"/>
    <row customHeight="1" ht="12.75" r="886"/>
    <row customHeight="1" ht="12.75" r="887"/>
    <row customHeight="1" ht="12.75" r="888"/>
    <row customHeight="1" ht="12.75" r="889"/>
    <row customHeight="1" ht="12.75" r="890"/>
    <row customHeight="1" ht="12.75" r="891"/>
    <row customHeight="1" ht="12.75" r="892"/>
    <row customHeight="1" ht="12.75" r="893"/>
    <row customHeight="1" ht="12.75" r="894"/>
    <row customHeight="1" ht="12.75" r="895"/>
    <row customHeight="1" ht="12.75" r="896"/>
    <row customHeight="1" ht="12.75" r="897"/>
    <row customHeight="1" ht="12.75" r="898"/>
    <row customHeight="1" ht="12.75" r="899"/>
    <row customHeight="1" ht="12.75" r="900"/>
    <row customHeight="1" ht="12.75" r="901"/>
    <row customHeight="1" ht="12.75" r="902"/>
    <row customHeight="1" ht="12.75" r="903"/>
    <row customHeight="1" ht="12.75" r="904"/>
    <row customHeight="1" ht="12.75" r="905"/>
    <row customHeight="1" ht="12.75" r="906"/>
    <row customHeight="1" ht="12.75" r="907"/>
    <row customHeight="1" ht="12.75" r="908"/>
    <row customHeight="1" ht="12.75" r="909"/>
    <row customHeight="1" ht="12.75" r="910"/>
    <row customHeight="1" ht="12.75" r="911"/>
    <row customHeight="1" ht="12.75" r="912"/>
    <row customHeight="1" ht="12.75" r="913"/>
    <row customHeight="1" ht="12.75" r="914"/>
  </sheetData>
  <mergeCells count="5">
    <mergeCell ref="B3:E5"/>
    <mergeCell ref="B7:C7"/>
    <mergeCell ref="D7:E7"/>
    <mergeCell ref="B8:C8"/>
    <mergeCell ref="D8:E8"/>
  </mergeCells>
  <pageMargins bottom="0.75" footer="0.3" header="0.3" left="0.7" right="0.7" top="0.75"/>
  <pageSetup fitToWidth="0"/>
  <drawing r:id="rId1"/>
  <extLs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F92"/>
  <sheetViews>
    <sheetView topLeftCell="B73" workbookViewId="0">
      <selection activeCell="B1" sqref="B1:E1"/>
    </sheetView>
  </sheetViews>
  <sheetFormatPr defaultRowHeight="15"/>
  <cols>
    <col min="1" max="2" customWidth="true" width="12.0" collapsed="true"/>
    <col min="3" max="3" customWidth="true" width="23.140625" collapsed="true"/>
    <col min="4" max="4" customWidth="true" width="40.0" collapsed="true"/>
    <col min="5" max="5" customWidth="true" width="122.42578125" collapsed="true"/>
  </cols>
  <sheetData>
    <row r="1" spans="1:5">
      <c r="A1" s="40" t="s">
        <v>112</v>
      </c>
      <c r="B1" s="71" t="s">
        <v>112</v>
      </c>
      <c r="C1" s="71" t="s">
        <v>35</v>
      </c>
      <c r="D1" s="71" t="s">
        <v>33</v>
      </c>
      <c r="E1" s="71" t="s">
        <v>113</v>
      </c>
    </row>
    <row r="2" spans="1:5">
      <c r="A2" s="57" t="s">
        <v>114</v>
      </c>
      <c r="B2" s="69" t="s">
        <v>114</v>
      </c>
      <c r="C2" s="69" t="s">
        <v>115</v>
      </c>
      <c r="D2" s="69" t="s">
        <v>116</v>
      </c>
      <c r="E2" s="70" t="s">
        <v>117</v>
      </c>
    </row>
    <row r="3" spans="1:5">
      <c r="A3" s="57" t="s">
        <v>114</v>
      </c>
      <c r="B3" s="69" t="s">
        <v>114</v>
      </c>
      <c r="C3" s="69" t="s">
        <v>115</v>
      </c>
      <c r="D3" s="69" t="s">
        <v>118</v>
      </c>
      <c r="E3" s="70" t="s">
        <v>119</v>
      </c>
    </row>
    <row ht="30" r="4" spans="1:5">
      <c r="A4" s="57" t="s">
        <v>114</v>
      </c>
      <c r="B4" s="69" t="s">
        <v>114</v>
      </c>
      <c r="C4" s="69" t="s">
        <v>115</v>
      </c>
      <c r="D4" s="69" t="s">
        <v>120</v>
      </c>
      <c r="E4" s="70" t="s">
        <v>121</v>
      </c>
    </row>
    <row ht="30" r="5" spans="1:5">
      <c r="A5" s="57" t="s">
        <v>114</v>
      </c>
      <c r="B5" s="69" t="s">
        <v>114</v>
      </c>
      <c r="C5" s="69" t="s">
        <v>115</v>
      </c>
      <c r="D5" s="69" t="s">
        <v>122</v>
      </c>
      <c r="E5" s="70" t="s">
        <v>123</v>
      </c>
    </row>
    <row ht="30" r="6" spans="1:5">
      <c r="A6" s="57" t="s">
        <v>114</v>
      </c>
      <c r="B6" s="69" t="s">
        <v>114</v>
      </c>
      <c r="C6" s="69" t="s">
        <v>124</v>
      </c>
      <c r="D6" s="69" t="s">
        <v>56</v>
      </c>
      <c r="E6" s="70" t="s">
        <v>125</v>
      </c>
    </row>
    <row ht="30" r="7" spans="1:5">
      <c r="A7" s="57" t="s">
        <v>114</v>
      </c>
      <c r="B7" s="69" t="s">
        <v>114</v>
      </c>
      <c r="C7" s="69" t="s">
        <v>124</v>
      </c>
      <c r="D7" s="69" t="s">
        <v>126</v>
      </c>
      <c r="E7" s="70" t="s">
        <v>127</v>
      </c>
    </row>
    <row r="8" spans="1:5">
      <c r="A8" s="57" t="s">
        <v>114</v>
      </c>
      <c r="B8" s="69" t="s">
        <v>114</v>
      </c>
      <c r="C8" s="69" t="s">
        <v>124</v>
      </c>
      <c r="D8" s="69" t="s">
        <v>128</v>
      </c>
      <c r="E8" s="70" t="s">
        <v>129</v>
      </c>
    </row>
    <row r="9" spans="1:5">
      <c r="A9" s="57" t="s">
        <v>114</v>
      </c>
      <c r="B9" s="69" t="s">
        <v>114</v>
      </c>
      <c r="C9" s="69" t="s">
        <v>124</v>
      </c>
      <c r="D9" s="69" t="s">
        <v>130</v>
      </c>
      <c r="E9" s="70" t="s">
        <v>131</v>
      </c>
    </row>
    <row r="10" spans="1:5">
      <c r="A10" s="57" t="s">
        <v>114</v>
      </c>
      <c r="B10" s="69" t="s">
        <v>114</v>
      </c>
      <c r="C10" s="69" t="s">
        <v>124</v>
      </c>
      <c r="D10" s="69" t="s">
        <v>132</v>
      </c>
      <c r="E10" s="70" t="s">
        <v>133</v>
      </c>
    </row>
    <row ht="45" r="11" spans="1:5">
      <c r="A11" s="57" t="s">
        <v>114</v>
      </c>
      <c r="B11" s="69" t="s">
        <v>114</v>
      </c>
      <c r="C11" s="69" t="s">
        <v>134</v>
      </c>
      <c r="D11" s="69" t="s">
        <v>135</v>
      </c>
      <c r="E11" s="70" t="s">
        <v>136</v>
      </c>
    </row>
    <row ht="30" r="12" spans="1:5">
      <c r="A12" s="57" t="s">
        <v>114</v>
      </c>
      <c r="B12" s="69" t="s">
        <v>114</v>
      </c>
      <c r="C12" s="69" t="s">
        <v>134</v>
      </c>
      <c r="D12" s="69" t="s">
        <v>137</v>
      </c>
      <c r="E12" s="70" t="s">
        <v>138</v>
      </c>
    </row>
    <row ht="45" r="13" spans="1:5">
      <c r="A13" s="57" t="s">
        <v>114</v>
      </c>
      <c r="B13" s="69" t="s">
        <v>114</v>
      </c>
      <c r="C13" s="69" t="s">
        <v>134</v>
      </c>
      <c r="D13" s="69" t="s">
        <v>139</v>
      </c>
      <c r="E13" s="70" t="s">
        <v>140</v>
      </c>
    </row>
    <row ht="60" r="14" spans="1:5">
      <c r="A14" s="57" t="s">
        <v>114</v>
      </c>
      <c r="B14" s="69" t="s">
        <v>114</v>
      </c>
      <c r="C14" s="69" t="s">
        <v>134</v>
      </c>
      <c r="D14" s="69" t="s">
        <v>141</v>
      </c>
      <c r="E14" s="70" t="s">
        <v>142</v>
      </c>
    </row>
    <row ht="60" r="15" spans="1:5">
      <c r="A15" s="57" t="s">
        <v>114</v>
      </c>
      <c r="B15" s="69" t="s">
        <v>114</v>
      </c>
      <c r="C15" s="69" t="s">
        <v>134</v>
      </c>
      <c r="D15" s="69" t="s">
        <v>143</v>
      </c>
      <c r="E15" s="70" t="s">
        <v>144</v>
      </c>
    </row>
    <row ht="270" r="16" spans="1:5">
      <c r="A16" s="57" t="s">
        <v>114</v>
      </c>
      <c r="B16" s="69" t="s">
        <v>114</v>
      </c>
      <c r="C16" s="69" t="s">
        <v>134</v>
      </c>
      <c r="D16" s="69" t="s">
        <v>145</v>
      </c>
      <c r="E16" s="70" t="s">
        <v>146</v>
      </c>
    </row>
    <row ht="30" r="17" spans="1:5">
      <c r="A17" s="57" t="s">
        <v>114</v>
      </c>
      <c r="B17" s="69" t="s">
        <v>114</v>
      </c>
      <c r="C17" s="69" t="s">
        <v>147</v>
      </c>
      <c r="D17" s="69" t="s">
        <v>148</v>
      </c>
      <c r="E17" s="70" t="s">
        <v>149</v>
      </c>
    </row>
    <row ht="30" r="18" spans="1:5">
      <c r="A18" s="57" t="s">
        <v>114</v>
      </c>
      <c r="B18" s="69" t="s">
        <v>114</v>
      </c>
      <c r="C18" s="69" t="s">
        <v>147</v>
      </c>
      <c r="D18" s="69" t="s">
        <v>150</v>
      </c>
      <c r="E18" s="70" t="s">
        <v>297</v>
      </c>
    </row>
    <row ht="30" r="19" spans="1:5">
      <c r="A19" s="57" t="s">
        <v>114</v>
      </c>
      <c r="B19" s="69" t="s">
        <v>114</v>
      </c>
      <c r="C19" s="69" t="s">
        <v>147</v>
      </c>
      <c r="D19" s="69" t="s">
        <v>151</v>
      </c>
      <c r="E19" s="70" t="s">
        <v>152</v>
      </c>
    </row>
    <row ht="30" r="20" spans="1:5">
      <c r="A20" s="57" t="s">
        <v>114</v>
      </c>
      <c r="B20" s="69" t="s">
        <v>114</v>
      </c>
      <c r="C20" s="69" t="s">
        <v>147</v>
      </c>
      <c r="D20" s="69" t="s">
        <v>153</v>
      </c>
      <c r="E20" s="70" t="s">
        <v>154</v>
      </c>
    </row>
    <row ht="75" r="21" spans="1:5">
      <c r="A21" s="57" t="s">
        <v>114</v>
      </c>
      <c r="B21" s="69" t="s">
        <v>114</v>
      </c>
      <c r="C21" s="69" t="s">
        <v>155</v>
      </c>
      <c r="D21" s="69" t="s">
        <v>298</v>
      </c>
      <c r="E21" s="70" t="s">
        <v>299</v>
      </c>
    </row>
    <row ht="60" r="22" spans="1:5">
      <c r="A22" s="57" t="s">
        <v>114</v>
      </c>
      <c r="B22" s="69" t="s">
        <v>114</v>
      </c>
      <c r="C22" s="69" t="s">
        <v>155</v>
      </c>
      <c r="D22" s="69" t="s">
        <v>156</v>
      </c>
      <c r="E22" s="70" t="s">
        <v>157</v>
      </c>
    </row>
    <row ht="90" r="23" spans="1:5">
      <c r="A23" s="57" t="s">
        <v>114</v>
      </c>
      <c r="B23" s="69" t="s">
        <v>114</v>
      </c>
      <c r="C23" s="69" t="s">
        <v>155</v>
      </c>
      <c r="D23" s="69" t="s">
        <v>158</v>
      </c>
      <c r="E23" s="70" t="s">
        <v>300</v>
      </c>
    </row>
    <row ht="240" r="24" spans="1:5">
      <c r="A24" s="57" t="s">
        <v>114</v>
      </c>
      <c r="B24" s="69" t="s">
        <v>114</v>
      </c>
      <c r="C24" s="69" t="s">
        <v>155</v>
      </c>
      <c r="D24" s="69" t="s">
        <v>159</v>
      </c>
      <c r="E24" s="70" t="s">
        <v>301</v>
      </c>
    </row>
    <row ht="75" r="25" spans="1:5">
      <c r="A25" s="57" t="s">
        <v>114</v>
      </c>
      <c r="B25" s="69" t="s">
        <v>114</v>
      </c>
      <c r="C25" s="69" t="s">
        <v>160</v>
      </c>
      <c r="D25" s="69" t="s">
        <v>161</v>
      </c>
      <c r="E25" s="70" t="s">
        <v>302</v>
      </c>
    </row>
    <row ht="60" r="26" spans="1:5">
      <c r="A26" s="57" t="s">
        <v>114</v>
      </c>
      <c r="B26" s="69" t="s">
        <v>114</v>
      </c>
      <c r="C26" s="69" t="s">
        <v>160</v>
      </c>
      <c r="D26" s="69" t="s">
        <v>303</v>
      </c>
      <c r="E26" s="70" t="s">
        <v>162</v>
      </c>
    </row>
    <row ht="90" r="27" spans="1:5">
      <c r="A27" s="57" t="s">
        <v>114</v>
      </c>
      <c r="B27" s="69" t="s">
        <v>114</v>
      </c>
      <c r="C27" s="69" t="s">
        <v>160</v>
      </c>
      <c r="D27" s="69" t="s">
        <v>163</v>
      </c>
      <c r="E27" s="70" t="s">
        <v>304</v>
      </c>
    </row>
    <row ht="240" r="28" spans="1:5">
      <c r="A28" s="57" t="s">
        <v>114</v>
      </c>
      <c r="B28" s="69" t="s">
        <v>114</v>
      </c>
      <c r="C28" s="69" t="s">
        <v>160</v>
      </c>
      <c r="D28" s="69" t="s">
        <v>164</v>
      </c>
      <c r="E28" s="70" t="s">
        <v>305</v>
      </c>
    </row>
    <row ht="45" r="29" spans="1:5">
      <c r="A29" s="57" t="s">
        <v>114</v>
      </c>
      <c r="B29" s="69" t="s">
        <v>114</v>
      </c>
      <c r="C29" s="69" t="s">
        <v>165</v>
      </c>
      <c r="D29" s="69" t="s">
        <v>166</v>
      </c>
      <c r="E29" s="70" t="s">
        <v>167</v>
      </c>
    </row>
    <row ht="60" r="30" spans="1:5">
      <c r="A30" s="57" t="s">
        <v>114</v>
      </c>
      <c r="B30" s="69" t="s">
        <v>114</v>
      </c>
      <c r="C30" s="69" t="s">
        <v>165</v>
      </c>
      <c r="D30" s="69" t="s">
        <v>168</v>
      </c>
      <c r="E30" s="70" t="s">
        <v>169</v>
      </c>
    </row>
    <row ht="60" r="31" spans="1:5">
      <c r="A31" s="57" t="s">
        <v>114</v>
      </c>
      <c r="B31" s="69" t="s">
        <v>114</v>
      </c>
      <c r="C31" s="69" t="s">
        <v>165</v>
      </c>
      <c r="D31" s="69" t="s">
        <v>170</v>
      </c>
      <c r="E31" s="70" t="s">
        <v>171</v>
      </c>
    </row>
    <row ht="270" r="32" spans="1:5">
      <c r="A32" s="57" t="s">
        <v>114</v>
      </c>
      <c r="B32" s="69" t="s">
        <v>114</v>
      </c>
      <c r="C32" s="69" t="s">
        <v>165</v>
      </c>
      <c r="D32" s="69" t="s">
        <v>172</v>
      </c>
      <c r="E32" s="70" t="s">
        <v>173</v>
      </c>
    </row>
    <row ht="60" r="33" spans="1:5">
      <c r="A33" s="57" t="s">
        <v>114</v>
      </c>
      <c r="B33" s="69" t="s">
        <v>114</v>
      </c>
      <c r="C33" s="69" t="s">
        <v>174</v>
      </c>
      <c r="D33" s="69" t="s">
        <v>175</v>
      </c>
      <c r="E33" s="70" t="s">
        <v>306</v>
      </c>
    </row>
    <row ht="75" r="34" spans="1:5">
      <c r="A34" s="57" t="s">
        <v>114</v>
      </c>
      <c r="B34" s="69" t="s">
        <v>114</v>
      </c>
      <c r="C34" s="69" t="s">
        <v>174</v>
      </c>
      <c r="D34" s="69" t="s">
        <v>176</v>
      </c>
      <c r="E34" s="70" t="s">
        <v>307</v>
      </c>
    </row>
    <row ht="60" r="35" spans="1:5">
      <c r="A35" s="57" t="s">
        <v>114</v>
      </c>
      <c r="B35" s="69" t="s">
        <v>114</v>
      </c>
      <c r="C35" s="69" t="s">
        <v>174</v>
      </c>
      <c r="D35" s="69" t="s">
        <v>177</v>
      </c>
      <c r="E35" s="70" t="s">
        <v>308</v>
      </c>
    </row>
    <row ht="60" r="36" spans="1:5">
      <c r="A36" s="57" t="s">
        <v>114</v>
      </c>
      <c r="B36" s="69" t="s">
        <v>114</v>
      </c>
      <c r="C36" s="69" t="s">
        <v>174</v>
      </c>
      <c r="D36" s="69" t="s">
        <v>178</v>
      </c>
      <c r="E36" s="70" t="s">
        <v>309</v>
      </c>
    </row>
    <row ht="45" r="37" spans="1:5">
      <c r="A37" s="57" t="s">
        <v>114</v>
      </c>
      <c r="B37" s="69" t="s">
        <v>114</v>
      </c>
      <c r="C37" s="69" t="s">
        <v>174</v>
      </c>
      <c r="D37" s="69" t="s">
        <v>179</v>
      </c>
      <c r="E37" s="70" t="s">
        <v>180</v>
      </c>
    </row>
    <row ht="60" r="38" spans="1:5">
      <c r="A38" s="57" t="s">
        <v>114</v>
      </c>
      <c r="B38" s="69" t="s">
        <v>114</v>
      </c>
      <c r="C38" s="69" t="s">
        <v>174</v>
      </c>
      <c r="D38" s="69" t="s">
        <v>181</v>
      </c>
      <c r="E38" s="70" t="s">
        <v>310</v>
      </c>
    </row>
    <row ht="60" r="39" spans="1:5">
      <c r="A39" s="57" t="s">
        <v>114</v>
      </c>
      <c r="B39" s="69" t="s">
        <v>114</v>
      </c>
      <c r="C39" s="69" t="s">
        <v>174</v>
      </c>
      <c r="D39" s="69" t="s">
        <v>182</v>
      </c>
      <c r="E39" s="70" t="s">
        <v>183</v>
      </c>
    </row>
    <row ht="75" r="40" spans="1:5">
      <c r="A40" s="57" t="s">
        <v>114</v>
      </c>
      <c r="B40" s="69" t="s">
        <v>114</v>
      </c>
      <c r="C40" s="69" t="s">
        <v>174</v>
      </c>
      <c r="D40" s="69" t="s">
        <v>184</v>
      </c>
      <c r="E40" s="70" t="s">
        <v>185</v>
      </c>
    </row>
    <row ht="75" r="41" spans="1:5">
      <c r="A41" s="57" t="s">
        <v>114</v>
      </c>
      <c r="B41" s="69" t="s">
        <v>114</v>
      </c>
      <c r="C41" s="69" t="s">
        <v>174</v>
      </c>
      <c r="D41" s="69" t="s">
        <v>186</v>
      </c>
      <c r="E41" s="70" t="s">
        <v>187</v>
      </c>
    </row>
    <row ht="285" r="42" spans="1:5">
      <c r="A42" s="57" t="s">
        <v>114</v>
      </c>
      <c r="B42" s="69" t="s">
        <v>114</v>
      </c>
      <c r="C42" s="69" t="s">
        <v>174</v>
      </c>
      <c r="D42" s="69" t="s">
        <v>188</v>
      </c>
      <c r="E42" s="70" t="s">
        <v>189</v>
      </c>
    </row>
    <row ht="60" r="43" spans="1:5">
      <c r="A43" s="57" t="s">
        <v>114</v>
      </c>
      <c r="B43" s="69" t="s">
        <v>114</v>
      </c>
      <c r="C43" s="69" t="s">
        <v>174</v>
      </c>
      <c r="D43" s="69" t="s">
        <v>190</v>
      </c>
      <c r="E43" s="70" t="s">
        <v>191</v>
      </c>
    </row>
    <row ht="60" r="44" spans="1:5">
      <c r="A44" s="57" t="s">
        <v>114</v>
      </c>
      <c r="B44" s="69" t="s">
        <v>114</v>
      </c>
      <c r="C44" s="69" t="s">
        <v>174</v>
      </c>
      <c r="D44" s="69" t="s">
        <v>192</v>
      </c>
      <c r="E44" s="70" t="s">
        <v>193</v>
      </c>
    </row>
    <row ht="270" r="45" spans="1:5">
      <c r="A45" s="57" t="s">
        <v>114</v>
      </c>
      <c r="B45" s="69" t="s">
        <v>114</v>
      </c>
      <c r="C45" s="69" t="s">
        <v>174</v>
      </c>
      <c r="D45" s="69" t="s">
        <v>194</v>
      </c>
      <c r="E45" s="70" t="s">
        <v>195</v>
      </c>
    </row>
    <row ht="45" r="46" spans="1:5">
      <c r="A46" s="57" t="s">
        <v>114</v>
      </c>
      <c r="B46" s="69" t="s">
        <v>114</v>
      </c>
      <c r="C46" s="69" t="s">
        <v>196</v>
      </c>
      <c r="D46" s="69" t="s">
        <v>197</v>
      </c>
      <c r="E46" s="70" t="s">
        <v>198</v>
      </c>
    </row>
    <row ht="30" r="47" spans="1:5">
      <c r="A47" s="57" t="s">
        <v>114</v>
      </c>
      <c r="B47" s="69" t="s">
        <v>114</v>
      </c>
      <c r="C47" s="69" t="s">
        <v>199</v>
      </c>
      <c r="D47" s="69" t="s">
        <v>200</v>
      </c>
      <c r="E47" s="70" t="s">
        <v>201</v>
      </c>
    </row>
    <row ht="30" r="48" spans="1:5">
      <c r="A48" s="57" t="s">
        <v>114</v>
      </c>
      <c r="B48" s="69" t="s">
        <v>114</v>
      </c>
      <c r="C48" s="69" t="s">
        <v>199</v>
      </c>
      <c r="D48" s="69" t="s">
        <v>202</v>
      </c>
      <c r="E48" s="70" t="s">
        <v>203</v>
      </c>
    </row>
    <row ht="45" r="49" spans="1:5">
      <c r="A49" s="57" t="s">
        <v>114</v>
      </c>
      <c r="B49" s="69" t="s">
        <v>114</v>
      </c>
      <c r="C49" s="69" t="s">
        <v>199</v>
      </c>
      <c r="D49" s="69" t="s">
        <v>204</v>
      </c>
      <c r="E49" s="70" t="s">
        <v>205</v>
      </c>
    </row>
    <row ht="45" r="50" spans="1:5">
      <c r="A50" s="57" t="s">
        <v>114</v>
      </c>
      <c r="B50" s="69" t="s">
        <v>114</v>
      </c>
      <c r="C50" s="69" t="s">
        <v>199</v>
      </c>
      <c r="D50" s="69" t="s">
        <v>206</v>
      </c>
      <c r="E50" s="70" t="s">
        <v>207</v>
      </c>
    </row>
    <row ht="30" r="51" spans="1:5">
      <c r="A51" s="57" t="s">
        <v>114</v>
      </c>
      <c r="B51" s="69" t="s">
        <v>114</v>
      </c>
      <c r="C51" s="69" t="s">
        <v>199</v>
      </c>
      <c r="D51" s="69" t="s">
        <v>208</v>
      </c>
      <c r="E51" s="70" t="s">
        <v>311</v>
      </c>
    </row>
    <row ht="30" r="52" spans="1:5">
      <c r="A52" s="57" t="s">
        <v>114</v>
      </c>
      <c r="B52" s="69" t="s">
        <v>114</v>
      </c>
      <c r="C52" s="69" t="s">
        <v>199</v>
      </c>
      <c r="D52" s="69" t="s">
        <v>209</v>
      </c>
      <c r="E52" s="70" t="s">
        <v>210</v>
      </c>
    </row>
    <row ht="60" r="53" spans="1:5">
      <c r="A53" s="57" t="s">
        <v>114</v>
      </c>
      <c r="B53" s="69" t="s">
        <v>114</v>
      </c>
      <c r="C53" s="69" t="s">
        <v>199</v>
      </c>
      <c r="D53" s="69" t="s">
        <v>211</v>
      </c>
      <c r="E53" s="70" t="s">
        <v>212</v>
      </c>
    </row>
    <row ht="45" r="54" spans="1:5">
      <c r="A54" s="57" t="s">
        <v>114</v>
      </c>
      <c r="B54" s="69" t="s">
        <v>114</v>
      </c>
      <c r="C54" s="69" t="s">
        <v>199</v>
      </c>
      <c r="D54" s="69" t="s">
        <v>213</v>
      </c>
      <c r="E54" s="70" t="s">
        <v>214</v>
      </c>
    </row>
    <row ht="30" r="55" spans="1:5">
      <c r="A55" s="57" t="s">
        <v>114</v>
      </c>
      <c r="B55" s="69" t="s">
        <v>114</v>
      </c>
      <c r="C55" s="69" t="s">
        <v>199</v>
      </c>
      <c r="D55" s="69" t="s">
        <v>215</v>
      </c>
      <c r="E55" s="70" t="s">
        <v>216</v>
      </c>
    </row>
    <row ht="30" r="56" spans="1:5">
      <c r="A56" s="57" t="s">
        <v>114</v>
      </c>
      <c r="B56" s="69" t="s">
        <v>114</v>
      </c>
      <c r="C56" s="69" t="s">
        <v>199</v>
      </c>
      <c r="D56" s="69" t="s">
        <v>217</v>
      </c>
      <c r="E56" s="70" t="s">
        <v>218</v>
      </c>
    </row>
    <row ht="30" r="57" spans="1:5">
      <c r="A57" s="57" t="s">
        <v>114</v>
      </c>
      <c r="B57" s="69" t="s">
        <v>114</v>
      </c>
      <c r="C57" s="69" t="s">
        <v>199</v>
      </c>
      <c r="D57" s="69" t="s">
        <v>219</v>
      </c>
      <c r="E57" s="70" t="s">
        <v>220</v>
      </c>
    </row>
    <row r="58" spans="1:5">
      <c r="A58" s="57" t="s">
        <v>114</v>
      </c>
      <c r="B58" s="69" t="s">
        <v>114</v>
      </c>
      <c r="C58" s="69" t="s">
        <v>221</v>
      </c>
      <c r="D58" s="69" t="s">
        <v>222</v>
      </c>
      <c r="E58" s="70" t="s">
        <v>223</v>
      </c>
    </row>
    <row r="59" spans="1:5">
      <c r="A59" s="57" t="s">
        <v>114</v>
      </c>
      <c r="B59" s="69" t="s">
        <v>114</v>
      </c>
      <c r="C59" s="69" t="s">
        <v>221</v>
      </c>
      <c r="D59" s="69" t="s">
        <v>224</v>
      </c>
      <c r="E59" s="70" t="s">
        <v>225</v>
      </c>
    </row>
    <row ht="30" r="60" spans="1:5">
      <c r="A60" s="57" t="s">
        <v>114</v>
      </c>
      <c r="B60" s="69" t="s">
        <v>114</v>
      </c>
      <c r="C60" s="69" t="s">
        <v>221</v>
      </c>
      <c r="D60" s="69" t="s">
        <v>226</v>
      </c>
      <c r="E60" s="70" t="s">
        <v>227</v>
      </c>
    </row>
    <row ht="30" r="61" spans="1:5">
      <c r="A61" s="57" t="s">
        <v>114</v>
      </c>
      <c r="B61" s="69" t="s">
        <v>114</v>
      </c>
      <c r="C61" s="69" t="s">
        <v>228</v>
      </c>
      <c r="D61" s="69" t="s">
        <v>229</v>
      </c>
      <c r="E61" s="70" t="s">
        <v>230</v>
      </c>
    </row>
    <row r="62" spans="1:5">
      <c r="A62" s="57" t="s">
        <v>114</v>
      </c>
      <c r="B62" s="69" t="s">
        <v>114</v>
      </c>
      <c r="C62" s="69" t="s">
        <v>228</v>
      </c>
      <c r="D62" s="69" t="s">
        <v>231</v>
      </c>
      <c r="E62" s="70" t="s">
        <v>232</v>
      </c>
    </row>
    <row r="63" spans="1:5">
      <c r="A63" s="57" t="s">
        <v>114</v>
      </c>
      <c r="B63" s="69" t="s">
        <v>114</v>
      </c>
      <c r="C63" s="69" t="s">
        <v>233</v>
      </c>
      <c r="D63" s="69" t="s">
        <v>234</v>
      </c>
      <c r="E63" s="70" t="s">
        <v>235</v>
      </c>
    </row>
    <row r="64" spans="1:5">
      <c r="A64" s="57" t="s">
        <v>114</v>
      </c>
      <c r="B64" s="69" t="s">
        <v>114</v>
      </c>
      <c r="C64" s="69" t="s">
        <v>233</v>
      </c>
      <c r="D64" s="69" t="s">
        <v>236</v>
      </c>
      <c r="E64" s="70" t="s">
        <v>237</v>
      </c>
    </row>
    <row ht="30" r="65" spans="1:5">
      <c r="A65" s="57" t="s">
        <v>114</v>
      </c>
      <c r="B65" s="69" t="s">
        <v>114</v>
      </c>
      <c r="C65" s="69" t="s">
        <v>233</v>
      </c>
      <c r="D65" s="69" t="s">
        <v>238</v>
      </c>
      <c r="E65" s="70" t="s">
        <v>239</v>
      </c>
    </row>
    <row r="66" spans="1:5">
      <c r="A66" s="57" t="s">
        <v>114</v>
      </c>
      <c r="B66" s="69" t="s">
        <v>114</v>
      </c>
      <c r="C66" s="69" t="s">
        <v>240</v>
      </c>
      <c r="D66" s="69" t="s">
        <v>241</v>
      </c>
      <c r="E66" s="70" t="s">
        <v>242</v>
      </c>
    </row>
    <row r="67" spans="1:5">
      <c r="A67" s="57" t="s">
        <v>114</v>
      </c>
      <c r="B67" s="69" t="s">
        <v>114</v>
      </c>
      <c r="C67" s="69" t="s">
        <v>240</v>
      </c>
      <c r="D67" s="69" t="s">
        <v>243</v>
      </c>
      <c r="E67" s="70" t="s">
        <v>244</v>
      </c>
    </row>
    <row ht="45" r="68" spans="1:5">
      <c r="A68" s="57" t="s">
        <v>114</v>
      </c>
      <c r="B68" s="69" t="s">
        <v>114</v>
      </c>
      <c r="C68" s="69" t="s">
        <v>240</v>
      </c>
      <c r="D68" s="69" t="s">
        <v>245</v>
      </c>
      <c r="E68" s="70" t="s">
        <v>246</v>
      </c>
    </row>
    <row ht="45" r="69" spans="1:5">
      <c r="A69" s="57" t="s">
        <v>114</v>
      </c>
      <c r="B69" s="69" t="s">
        <v>114</v>
      </c>
      <c r="C69" s="69" t="s">
        <v>240</v>
      </c>
      <c r="D69" s="69" t="s">
        <v>247</v>
      </c>
      <c r="E69" s="70" t="s">
        <v>248</v>
      </c>
    </row>
    <row ht="75" r="70" spans="1:5">
      <c r="A70" s="57" t="s">
        <v>114</v>
      </c>
      <c r="B70" s="69" t="s">
        <v>114</v>
      </c>
      <c r="C70" s="69" t="s">
        <v>249</v>
      </c>
      <c r="D70" s="69" t="s">
        <v>60</v>
      </c>
      <c r="E70" s="70" t="s">
        <v>250</v>
      </c>
    </row>
    <row ht="45" r="71" spans="1:5">
      <c r="A71" s="57" t="s">
        <v>114</v>
      </c>
      <c r="B71" s="69" t="s">
        <v>114</v>
      </c>
      <c r="C71" s="69" t="s">
        <v>251</v>
      </c>
      <c r="D71" s="69" t="s">
        <v>312</v>
      </c>
      <c r="E71" s="70" t="s">
        <v>313</v>
      </c>
    </row>
    <row ht="45" r="72" spans="1:5">
      <c r="A72" s="57" t="s">
        <v>114</v>
      </c>
      <c r="B72" s="69" t="s">
        <v>114</v>
      </c>
      <c r="C72" s="69" t="s">
        <v>251</v>
      </c>
      <c r="D72" s="69" t="s">
        <v>314</v>
      </c>
      <c r="E72" s="70" t="s">
        <v>315</v>
      </c>
    </row>
    <row ht="180" r="73" spans="1:5">
      <c r="A73" s="57" t="s">
        <v>114</v>
      </c>
      <c r="B73" s="69" t="s">
        <v>114</v>
      </c>
      <c r="C73" s="69" t="s">
        <v>252</v>
      </c>
      <c r="D73" s="69" t="s">
        <v>253</v>
      </c>
      <c r="E73" s="70" t="s">
        <v>254</v>
      </c>
    </row>
    <row ht="180" r="74" spans="1:5">
      <c r="A74" s="57" t="s">
        <v>114</v>
      </c>
      <c r="B74" s="69" t="s">
        <v>114</v>
      </c>
      <c r="C74" s="69" t="s">
        <v>252</v>
      </c>
      <c r="D74" s="69" t="s">
        <v>255</v>
      </c>
      <c r="E74" s="70" t="s">
        <v>316</v>
      </c>
    </row>
    <row ht="409.5" r="75" spans="1:5">
      <c r="A75" s="57" t="s">
        <v>257</v>
      </c>
      <c r="B75" s="69" t="s">
        <v>114</v>
      </c>
      <c r="C75" s="69" t="s">
        <v>252</v>
      </c>
      <c r="D75" s="69" t="s">
        <v>256</v>
      </c>
      <c r="E75" s="70" t="s">
        <v>317</v>
      </c>
    </row>
    <row ht="135" r="76" spans="1:5">
      <c r="A76" s="57" t="s">
        <v>261</v>
      </c>
      <c r="B76" s="69" t="s">
        <v>257</v>
      </c>
      <c r="C76" s="69" t="s">
        <v>258</v>
      </c>
      <c r="D76" s="69" t="s">
        <v>259</v>
      </c>
      <c r="E76" s="70" t="s">
        <v>260</v>
      </c>
    </row>
    <row ht="60" r="77" spans="1:5">
      <c r="A77" s="57" t="s">
        <v>261</v>
      </c>
      <c r="B77" s="69" t="s">
        <v>261</v>
      </c>
      <c r="C77" s="69" t="s">
        <v>262</v>
      </c>
      <c r="D77" s="69" t="s">
        <v>263</v>
      </c>
      <c r="E77" s="70" t="s">
        <v>264</v>
      </c>
    </row>
    <row ht="30" r="78" spans="1:5">
      <c r="A78" s="57" t="s">
        <v>261</v>
      </c>
      <c r="B78" s="69" t="s">
        <v>261</v>
      </c>
      <c r="C78" s="69" t="s">
        <v>262</v>
      </c>
      <c r="D78" s="69" t="s">
        <v>265</v>
      </c>
      <c r="E78" s="70" t="s">
        <v>266</v>
      </c>
    </row>
    <row ht="45" r="79" spans="1:5">
      <c r="A79" s="57" t="s">
        <v>261</v>
      </c>
      <c r="B79" s="69" t="s">
        <v>261</v>
      </c>
      <c r="C79" s="69" t="s">
        <v>262</v>
      </c>
      <c r="D79" s="69" t="s">
        <v>267</v>
      </c>
      <c r="E79" s="70" t="s">
        <v>268</v>
      </c>
    </row>
    <row ht="45" r="80" spans="1:5">
      <c r="A80" s="57" t="s">
        <v>261</v>
      </c>
      <c r="B80" s="69" t="s">
        <v>261</v>
      </c>
      <c r="C80" s="69" t="s">
        <v>262</v>
      </c>
      <c r="D80" s="69" t="s">
        <v>269</v>
      </c>
      <c r="E80" s="70" t="s">
        <v>270</v>
      </c>
    </row>
    <row ht="60" r="81" spans="1:5">
      <c r="A81" s="57" t="s">
        <v>273</v>
      </c>
      <c r="B81" s="69" t="s">
        <v>261</v>
      </c>
      <c r="C81" s="69" t="s">
        <v>262</v>
      </c>
      <c r="D81" s="69" t="s">
        <v>271</v>
      </c>
      <c r="E81" s="70" t="s">
        <v>272</v>
      </c>
    </row>
    <row ht="165" r="82" spans="1:5">
      <c r="A82" s="57" t="s">
        <v>273</v>
      </c>
      <c r="B82" s="69" t="s">
        <v>273</v>
      </c>
      <c r="C82" s="69" t="s">
        <v>274</v>
      </c>
      <c r="D82" s="69" t="s">
        <v>275</v>
      </c>
      <c r="E82" s="70" t="s">
        <v>318</v>
      </c>
    </row>
    <row ht="150" r="83" spans="1:5">
      <c r="A83" s="57" t="s">
        <v>273</v>
      </c>
      <c r="B83" s="69" t="s">
        <v>273</v>
      </c>
      <c r="C83" s="69" t="s">
        <v>274</v>
      </c>
      <c r="D83" s="69" t="s">
        <v>276</v>
      </c>
      <c r="E83" s="70" t="s">
        <v>277</v>
      </c>
    </row>
    <row ht="300" r="84" spans="1:5">
      <c r="A84" s="57" t="s">
        <v>273</v>
      </c>
      <c r="B84" s="69" t="s">
        <v>273</v>
      </c>
      <c r="C84" s="69" t="s">
        <v>274</v>
      </c>
      <c r="D84" s="69" t="s">
        <v>278</v>
      </c>
      <c r="E84" s="70" t="s">
        <v>319</v>
      </c>
    </row>
    <row ht="150" r="85" spans="1:5">
      <c r="A85" s="57" t="s">
        <v>273</v>
      </c>
      <c r="B85" s="69" t="s">
        <v>273</v>
      </c>
      <c r="C85" s="69" t="s">
        <v>279</v>
      </c>
      <c r="D85" s="69" t="s">
        <v>66</v>
      </c>
      <c r="E85" s="70" t="s">
        <v>280</v>
      </c>
    </row>
    <row ht="150" r="86" spans="1:5">
      <c r="A86" s="57" t="s">
        <v>273</v>
      </c>
      <c r="B86" s="69" t="s">
        <v>273</v>
      </c>
      <c r="C86" s="69" t="s">
        <v>279</v>
      </c>
      <c r="D86" s="69" t="s">
        <v>70</v>
      </c>
      <c r="E86" s="70" t="s">
        <v>281</v>
      </c>
    </row>
    <row ht="300" r="87" spans="1:5">
      <c r="A87" s="57" t="s">
        <v>282</v>
      </c>
      <c r="B87" s="69" t="s">
        <v>273</v>
      </c>
      <c r="C87" s="69" t="s">
        <v>279</v>
      </c>
      <c r="D87" s="69" t="s">
        <v>74</v>
      </c>
      <c r="E87" s="70" t="s">
        <v>320</v>
      </c>
    </row>
    <row ht="165" r="88" spans="1:5">
      <c r="A88" s="57" t="s">
        <v>282</v>
      </c>
      <c r="B88" s="69" t="s">
        <v>282</v>
      </c>
      <c r="C88" s="69" t="s">
        <v>283</v>
      </c>
      <c r="D88" s="69" t="s">
        <v>284</v>
      </c>
      <c r="E88" s="70" t="s">
        <v>285</v>
      </c>
    </row>
    <row ht="30" r="89" spans="1:5">
      <c r="A89" s="57" t="s">
        <v>289</v>
      </c>
      <c r="B89" s="69" t="s">
        <v>282</v>
      </c>
      <c r="C89" s="69" t="s">
        <v>286</v>
      </c>
      <c r="D89" s="69" t="s">
        <v>287</v>
      </c>
      <c r="E89" s="70" t="s">
        <v>288</v>
      </c>
    </row>
    <row ht="120" r="90" spans="1:5">
      <c r="A90" s="57" t="s">
        <v>289</v>
      </c>
      <c r="B90" s="69" t="s">
        <v>289</v>
      </c>
      <c r="C90" s="69" t="s">
        <v>290</v>
      </c>
      <c r="D90" s="69" t="s">
        <v>291</v>
      </c>
      <c r="E90" s="70" t="s">
        <v>292</v>
      </c>
    </row>
    <row ht="120" r="91" spans="1:5">
      <c r="A91" s="57" t="s">
        <v>289</v>
      </c>
      <c r="B91" s="69" t="s">
        <v>289</v>
      </c>
      <c r="C91" s="69" t="s">
        <v>290</v>
      </c>
      <c r="D91" s="69" t="s">
        <v>293</v>
      </c>
      <c r="E91" s="70" t="s">
        <v>294</v>
      </c>
    </row>
    <row ht="105" r="92" spans="1:5">
      <c r="B92" s="69" t="s">
        <v>289</v>
      </c>
      <c r="C92" s="69" t="s">
        <v>290</v>
      </c>
      <c r="D92" s="69" t="s">
        <v>295</v>
      </c>
      <c r="E92" s="70" t="s">
        <v>296</v>
      </c>
    </row>
  </sheetData>
  <pageMargins bottom="0.75" footer="0.3" header="0.3" left="0.7" right="0.7" top="0.75"/>
  <pageSetup fitToWidth="0" pageOrder="overThenDown"/>
  <extLs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Worksheets</vt:lpstr>
      </vt:variant>
      <vt:variant>
        <vt:i4>5</vt:i4>
      </vt:variant>
    </vt:vector>
  </HeadingPairs>
  <TitlesOfParts>
    <vt:vector baseType="lpstr" size="5">
      <vt:lpstr>Overview</vt:lpstr>
      <vt:lpstr>TC</vt:lpstr>
      <vt:lpstr>Extension</vt:lpstr>
      <vt:lpstr>Test Report</vt:lpstr>
      <vt:lpstr>Keyword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Thang Tong</cp:lastModifiedBy>
  <dcterms:modified xsi:type="dcterms:W3CDTF">2018-11-18T17:38:21Z</dcterms:modified>
  <cp:revision>0</cp:revision>
</cp:coreProperties>
</file>