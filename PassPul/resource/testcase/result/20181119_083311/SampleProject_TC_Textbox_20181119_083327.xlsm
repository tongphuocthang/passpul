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TC!$A$1:$Y$17</definedName>
  </definedNames>
  <calcPr/>
  <extLst>
    <ext uri="smNativeData">
      <pm:revision xmlns:pm="smNativeData" day="1542562997" rev="123" revOS="4" val="938"/>
      <pm:docPrefs xmlns:pm="smNativeData" autoChart="1" compatTextArt="1" finalRounding="1" fixedDigits="0" id="1542562997" printArea="currentSheet" recalcOnCopy="1" recalcOnPrint="1" showFrameBounds="1" showNotice="1" tab="567" useDefinedPrintRange="1"/>
      <pm:compatibility xmlns:pm="smNativeData" id="1542562997" overlapCells="1"/>
      <pm:defCurrency xmlns:pm="smNativeData" id="1542562997"/>
    </ext>
  </extLst>
</workbook>
</file>

<file path=xl/sharedStrings.xml><?xml version="1.0" encoding="utf-8"?>
<sst xmlns="http://schemas.openxmlformats.org/spreadsheetml/2006/main" count="735" uniqueCount="329">
  <si>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</si>
  <si>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</si>
  <si>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</si>
  <si>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</si>
  <si>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</si>
  <si>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</si>
  <si>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</si>
  <si>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</si>
  <si>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</si>
  <si>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</si>
  <si>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</si>
  <si>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</si>
  <si>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</si>
  <si>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</si>
  <si>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</si>
  <si>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</si>
  <si>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</si>
  <si>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</si>
  <si>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</si>
  <si>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</si>
  <si>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</si>
  <si>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</si>
  <si>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</si>
  <si>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</si>
  <si>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</si>
  <si>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</si>
  <si>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</si>
  <si>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</si>
  <si>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</si>
  <si>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</si>
  <si>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</si>
  <si>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</si>
  <si>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</si>
  <si>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</si>
  <si>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</si>
  <si>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</si>
  <si>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</si>
  <si>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</si>
  <si>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</si>
  <si>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</si>
  <si>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</si>
  <si>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</si>
  <si>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</si>
  <si>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</si>
  <si>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</si>
  <si>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</si>
  <si>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</si>
  <si>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</si>
  <si>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</si>
  <si>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Textbox</t>
  </si>
  <si>
    <t>TC_01</t>
  </si>
  <si>
    <t>Verify textbox value</t>
  </si>
  <si>
    <t>Medium</t>
  </si>
  <si>
    <t>Y</t>
  </si>
  <si>
    <t>Set variable for Sample text</t>
  </si>
  <si>
    <t>SET VARIABLE</t>
  </si>
  <si>
    <t>${SampleText01}</t>
  </si>
  <si>
    <t>Lorem Ipsum is simply dummy text</t>
  </si>
  <si>
    <t/>
  </si>
  <si>
    <t>Go to Go to [Simple Form Demo] screen</t>
  </si>
  <si>
    <t>GO TO URL</t>
  </si>
  <si>
    <t>SampleProject_SimpleFormDemo_Screen</t>
  </si>
  <si>
    <t>TC_02</t>
  </si>
  <si>
    <t>Enter message</t>
  </si>
  <si>
    <t>SET TEXT</t>
  </si>
  <si>
    <t>SampleProject_SimpleFormDemo_EnterMessage_Textbox</t>
  </si>
  <si>
    <t>TC_03</t>
  </si>
  <si>
    <t>VERIFY TEXTBOX VALUE</t>
  </si>
  <si>
    <t>TC_04</t>
  </si>
  <si>
    <t>Verify the value of textbox with the result of executing SQL Statement</t>
  </si>
  <si>
    <t>VERIFY TEXTBOX VALUE DB</t>
  </si>
  <si>
    <t>SampleProject_GetSampleText</t>
  </si>
  <si>
    <t>TC_05</t>
  </si>
  <si>
    <t>Verify value of textbox with the result of running WS (SOAP)</t>
  </si>
  <si>
    <t>Run WS</t>
  </si>
  <si>
    <t>RUN SOAPUI</t>
  </si>
  <si>
    <t>soapUIBin</t>
  </si>
  <si>
    <t>sampleSOAPProject</t>
  </si>
  <si>
    <t>sampleTestSuite</t>
  </si>
  <si>
    <t>sampleTestCase</t>
  </si>
  <si>
    <t>responseFolder</t>
  </si>
  <si>
    <t>xml</t>
  </si>
  <si>
    <t>VERIFY TEXTBOX VALUE WS</t>
  </si>
  <si>
    <t>SampleProject_WS_getExampleSOAP</t>
  </si>
  <si>
    <t>TC_06</t>
  </si>
  <si>
    <t>Verify value of textbox with the result of running WS (RESTful)</t>
  </si>
  <si>
    <t>sampleRESTProject</t>
  </si>
  <si>
    <t>json</t>
  </si>
  <si>
    <t>SampleProject_WS_getExampleREST</t>
  </si>
  <si>
    <t>END</t>
  </si>
  <si>
    <t>Predefined list</t>
  </si>
  <si>
    <t>Pre 00</t>
  </si>
  <si>
    <t>Pre 01</t>
  </si>
  <si>
    <t>Pre 02</t>
  </si>
  <si>
    <t>Pre 03</t>
  </si>
  <si>
    <t>Pre 04</t>
  </si>
  <si>
    <t>Pre 05</t>
  </si>
  <si>
    <t>rose</t>
  </si>
  <si>
    <t>red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</si>
  <si>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</si>
  <si>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</si>
  <si>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</si>
  <si>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</si>
  <si>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</si>
  <si>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</si>
  <si>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</si>
  <si>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</si>
  <si>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</si>
  <si>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</si>
  <si>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</si>
  <si>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</si>
  <si>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</si>
  <si>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</si>
  <si>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</si>
  <si>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</si>
  <si>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</si>
  <si>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</si>
  <si>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</si>
  <si>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</si>
  <si>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</si>
  <si>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</si>
  <si>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</si>
  <si>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</si>
  <si>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</si>
  <si>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</si>
  <si>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</si>
  <si>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</si>
  <si>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</si>
  <si>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</si>
  <si>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</si>
  <si>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</si>
  <si>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</si>
  <si>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</si>
  <si>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</si>
  <si>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</si>
  <si>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</si>
  <si>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</si>
  <si>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</si>
  <si>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</si>
  <si>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</si>
  <si>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</si>
  <si>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</si>
  <si>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</si>
  <si>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</si>
  <si>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</si>
  <si>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</si>
  <si>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</si>
  <si>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</si>
  <si>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</si>
  <si>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</si>
  <si>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</si>
  <si>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</si>
  <si>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</si>
  <si>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</si>
  <si>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</si>
  <si>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</si>
  <si>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</si>
  <si>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</si>
  <si>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</si>
  <si>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</si>
  <si>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</si>
  <si>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</si>
  <si>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</si>
  <si>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</si>
  <si>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</si>
  <si>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</si>
  <si>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</si>
  <si>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</si>
  <si>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</si>
  <si>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</si>
  <si>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</si>
  <si>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</si>
  <si>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</si>
  <si>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</si>
  <si>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</si>
  <si>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</si>
  <si>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</si>
  <si>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</si>
  <si>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</si>
  <si>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</si>
  <si>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</si>
  <si>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</si>
  <si>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</si>
  <si>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</si>
  <si>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</si>
  <si>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</si>
  <si>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</si>
  <si>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</si>
  <si>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</si>
  <si>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</si>
  <si>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</si>
  <si>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</si>
  <si>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</si>
  <si>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</si>
  <si>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</si>
  <si>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</si>
  <si>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</si>
  <si>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</si>
  <si>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</si>
  <si>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</si>
  <si>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</si>
  <si>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</si>
  <si>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</si>
  <si>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</si>
  <si>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</si>
  <si>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</si>
  <si>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</si>
  <si>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</si>
  <si>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</si>
  <si>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</si>
  <si>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</si>
  <si>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</si>
  <si>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</si>
  <si>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</si>
  <si>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</si>
  <si>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</si>
  <si>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</si>
  <si>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</si>
  <si>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</si>
  <si>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</si>
  <si>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</si>
  <si>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</si>
  <si>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</si>
  <si>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</si>
  <si>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</si>
  <si>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</si>
  <si>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</si>
  <si>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</si>
  <si>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</si>
  <si>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</si>
  <si>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</si>
  <si>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</si>
  <si>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</si>
  <si>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</si>
  <si>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</si>
  <si>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</si>
  <si>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</si>
  <si>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</si>
  <si>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</si>
  <si>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</si>
  <si>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</si>
  <si>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</si>
  <si>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</si>
  <si>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</si>
  <si>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</si>
  <si>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</si>
  <si>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</si>
  <si>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</si>
  <si>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</si>
  <si>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</si>
  <si>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</si>
  <si>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</si>
  <si>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</si>
  <si>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</si>
  <si>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</si>
  <si>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</si>
  <si>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</si>
  <si>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</si>
  <si>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</si>
  <si>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</si>
  <si>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</si>
  <si>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</si>
  <si>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</si>
  <si>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</si>
  <si>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</si>
  <si>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</si>
  <si>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</si>
  <si>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</si>
  <si>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</si>
  <si>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</si>
  <si>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</si>
  <si>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</si>
  <si>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</si>
  <si>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</si>
  <si>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</si>
  <si>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</si>
  <si>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</si>
  <si>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</si>
  <si>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</si>
  <si>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</si>
  <si>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</si>
  <si>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</si>
  <si>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</si>
  <si>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</si>
  <si>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</si>
  <si>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</si>
  <si>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</si>
  <si>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</si>
  <si>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</si>
  <si>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</si>
  <si>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</si>
  <si>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</si>
  <si>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</si>
  <si>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</si>
  <si>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</si>
  <si>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</si>
  <si>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</si>
  <si>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</si>
  <si>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</si>
  <si>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</si>
  <si>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</si>
  <si>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</si>
  <si>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</si>
  <si>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</si>
  <si>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</si>
  <si>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</si>
  <si>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</si>
  <si>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</si>
  <si>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</si>
  <si>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</si>
  <si>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</si>
  <si>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</si>
  <si>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</si>
  <si>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</si>
  <si>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</si>
  <si>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</si>
  <si>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</si>
  <si>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</si>
  <si>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2</t>
  </si>
  <si>
    <t>PASS</t>
  </si>
  <si>
    <t>FAIL</t>
  </si>
  <si>
    <t>ACTUAL: 
Lorem Ipsum is simply dummy text
EXPECTED: 
50667</t>
  </si>
  <si>
    <t>https://www.dropbox.com/s/c1232apeocp34zp/20181119_083351.png?dl=0</t>
  </si>
  <si>
    <t>ACTUAL: 
Lorem Ipsum is simply dummy text
EXPECTED: 
2001</t>
  </si>
  <si>
    <t>https://www.dropbox.com/s/70bml4qco2cprc3/20181119_083401.png?dl=0</t>
  </si>
  <si>
    <t>Grand Total</t>
  </si>
  <si>
    <t>11/19/2018 08:33:27</t>
  </si>
  <si>
    <t>11/19/2018 08:34:05</t>
  </si>
  <si>
    <t>0 min, 38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</si>
</sst>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24">
    <font>
      <name val="Calibri"/>
      <family val="2"/>
      <color rgb="FF000000"/>
      <sz val="11"/>
      <extLst>
        <ext uri="smNativeData">
          <pm:charSpec xmlns:pm="smNativeData" id="1542562997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997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299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2997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299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997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99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997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997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2997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997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997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997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299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27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2997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299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9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9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9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97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9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99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997" type="1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299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97" type="1"/>
          </ext>
        </extLst>
      </patternFill>
    </fill>
    <fill>
      <patternFill patternType="solid">
        <fgColor rgb="FF00B050"/>
        <bgColor rgb="FFFFFFFF"/>
        <extLst>
          <ext uri="smNativeData">
            <pm:shade xmlns:pm="smNativeData" bgClr="00000000" bgLvl="0" fgClr="0000B050" fgLvl="100" id="154256299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9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9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97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2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97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997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97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9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9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97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97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9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9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97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9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997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9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997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9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9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97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97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</cellStyleXfs>
  <cellXfs count="590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Border="1" applyFill="1" applyFont="1" borderId="12" fillId="13" fontId="13" numFmtId="0" xfId="0"/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Border="1" applyFill="1" applyFont="1" borderId="12" fillId="13" fontId="6" numFmtId="0" xfId="0"/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right" vertical="center" wrapText="1"/>
    </xf>
    <xf applyBorder="1" borderId="7" fillId="0" fontId="0" numFmtId="0" xfId="0"/>
    <xf applyAlignment="1" applyBorder="1" applyFill="1" applyFont="1" borderId="13" fillId="14" fontId="2" numFmtId="0" xfId="0">
      <alignment vertical="center"/>
    </xf>
    <xf applyBorder="1" applyFill="1" applyFont="1" borderId="14" fillId="15" fontId="3" numFmtId="0" xfId="0"/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5" fillId="16" fontId="2" numFmtId="0" xfId="4">
      <alignment horizontal="left"/>
    </xf>
    <xf applyAlignment="1" applyBorder="1" applyFill="1" applyFont="1" borderId="16" fillId="17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5" fillId="16" fontId="2" numFmtId="0" xfId="0">
      <alignment horizontal="left" vertical="center"/>
    </xf>
    <xf applyAlignment="1" applyBorder="1" applyFill="1" applyFont="1" borderId="17" fillId="18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borderId="7" fillId="0" fontId="0" numFmtId="0" xfId="0">
      <alignment horizontal="left" vertical="center"/>
    </xf>
    <xf applyAlignment="1" applyBorder="1" borderId="7" fillId="0" fontId="0" numFmtId="0" xfId="0">
      <alignment horizontal="left" vertical="center" wrapText="1"/>
    </xf>
    <xf numFmtId="0" fontId="14" fillId="20" borderId="0" xfId="0" applyFill="true" applyFont="true"/>
    <xf numFmtId="0" fontId="15" fillId="22" borderId="0" xfId="0" applyFill="true" applyFont="true"/>
    <xf numFmtId="0" fontId="1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7" fillId="26" borderId="21" xfId="0" applyFill="true" applyFont="true" applyBorder="true"/>
    <xf numFmtId="0" fontId="0" fillId="0" borderId="21" xfId="0" applyBorder="true"/>
    <xf numFmtId="10" fontId="18" fillId="26" borderId="21" xfId="0" applyFill="true" applyFont="true" applyNumberFormat="true" applyBorder="true"/>
    <xf numFmtId="0" fontId="19" fillId="20" borderId="0" xfId="0" applyFill="true" applyFont="true"/>
    <xf numFmtId="0" fontId="20" fillId="22" borderId="0" xfId="0" applyFill="true" applyFont="true"/>
    <xf numFmtId="0" fontId="2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22" fillId="26" borderId="21" xfId="0" applyFill="true" applyFont="true" applyBorder="true"/>
    <xf numFmtId="0" fontId="0" fillId="0" borderId="21" xfId="0" applyBorder="true"/>
    <xf numFmtId="10" fontId="23" fillId="26" borderId="21" xfId="0" applyFill="true" applyFont="true" applyNumberFormat="true" applyBorder="true"/>
    <xf numFmtId="0" fontId="24" fillId="20" borderId="0" xfId="0" applyFill="true" applyFont="true"/>
    <xf numFmtId="0" fontId="25" fillId="22" borderId="0" xfId="0" applyFill="true" applyFont="true"/>
    <xf numFmtId="0" fontId="2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27" fillId="26" borderId="21" xfId="0" applyFill="true" applyFont="true" applyBorder="true"/>
    <xf numFmtId="0" fontId="0" fillId="0" borderId="21" xfId="0" applyBorder="true"/>
    <xf numFmtId="10" fontId="28" fillId="26" borderId="21" xfId="0" applyFill="true" applyFont="true" applyNumberFormat="true" applyBorder="true"/>
    <xf numFmtId="0" fontId="29" fillId="20" borderId="0" xfId="0" applyFill="true" applyFont="true"/>
    <xf numFmtId="0" fontId="30" fillId="22" borderId="0" xfId="0" applyFill="true" applyFont="true"/>
    <xf numFmtId="0" fontId="3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32" fillId="26" borderId="21" xfId="0" applyFill="true" applyFont="true" applyBorder="true"/>
    <xf numFmtId="0" fontId="0" fillId="0" borderId="21" xfId="0" applyBorder="true"/>
    <xf numFmtId="10" fontId="33" fillId="26" borderId="21" xfId="0" applyFill="true" applyFont="true" applyNumberFormat="true" applyBorder="true"/>
    <xf numFmtId="0" fontId="34" fillId="20" borderId="0" xfId="0" applyFill="true" applyFont="true"/>
    <xf numFmtId="0" fontId="35" fillId="22" borderId="0" xfId="0" applyFill="true" applyFont="true"/>
    <xf numFmtId="0" fontId="3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37" fillId="26" borderId="21" xfId="0" applyFill="true" applyFont="true" applyBorder="true"/>
    <xf numFmtId="0" fontId="0" fillId="0" borderId="21" xfId="0" applyBorder="true"/>
    <xf numFmtId="10" fontId="38" fillId="26" borderId="21" xfId="0" applyFill="true" applyFont="true" applyNumberFormat="true" applyBorder="true"/>
    <xf numFmtId="0" fontId="39" fillId="20" borderId="0" xfId="0" applyFill="true" applyFont="true"/>
    <xf numFmtId="0" fontId="40" fillId="22" borderId="0" xfId="0" applyFill="true" applyFont="true"/>
    <xf numFmtId="0" fontId="4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42" fillId="26" borderId="21" xfId="0" applyFill="true" applyFont="true" applyBorder="true"/>
    <xf numFmtId="0" fontId="0" fillId="0" borderId="21" xfId="0" applyBorder="true"/>
    <xf numFmtId="10" fontId="43" fillId="26" borderId="21" xfId="0" applyFill="true" applyFont="true" applyNumberFormat="true" applyBorder="true"/>
    <xf numFmtId="0" fontId="44" fillId="20" borderId="0" xfId="0" applyFill="true" applyFont="true"/>
    <xf numFmtId="0" fontId="45" fillId="22" borderId="0" xfId="0" applyFill="true" applyFont="true"/>
    <xf numFmtId="0" fontId="4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47" fillId="26" borderId="21" xfId="0" applyFill="true" applyFont="true" applyBorder="true"/>
    <xf numFmtId="0" fontId="0" fillId="0" borderId="21" xfId="0" applyBorder="true"/>
    <xf numFmtId="10" fontId="48" fillId="26" borderId="21" xfId="0" applyFill="true" applyFont="true" applyNumberFormat="true" applyBorder="true"/>
    <xf numFmtId="0" fontId="49" fillId="20" borderId="0" xfId="0" applyFill="true" applyFont="true"/>
    <xf numFmtId="0" fontId="50" fillId="22" borderId="0" xfId="0" applyFill="true" applyFont="true"/>
    <xf numFmtId="0" fontId="5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52" fillId="26" borderId="21" xfId="0" applyFill="true" applyFont="true" applyBorder="true"/>
    <xf numFmtId="0" fontId="0" fillId="0" borderId="21" xfId="0" applyBorder="true"/>
    <xf numFmtId="10" fontId="53" fillId="26" borderId="21" xfId="0" applyFill="true" applyFont="true" applyNumberFormat="true" applyBorder="true"/>
    <xf numFmtId="0" fontId="54" fillId="20" borderId="0" xfId="0" applyFill="true" applyFont="true"/>
    <xf numFmtId="0" fontId="55" fillId="22" borderId="0" xfId="0" applyFill="true" applyFont="true"/>
    <xf numFmtId="0" fontId="5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57" fillId="26" borderId="21" xfId="0" applyFill="true" applyFont="true" applyBorder="true"/>
    <xf numFmtId="0" fontId="0" fillId="0" borderId="21" xfId="0" applyBorder="true"/>
    <xf numFmtId="10" fontId="58" fillId="26" borderId="21" xfId="0" applyFill="true" applyFont="true" applyNumberFormat="true" applyBorder="true"/>
    <xf numFmtId="0" fontId="59" fillId="20" borderId="0" xfId="0" applyFill="true" applyFont="true"/>
    <xf numFmtId="0" fontId="60" fillId="22" borderId="0" xfId="0" applyFill="true" applyFont="true"/>
    <xf numFmtId="0" fontId="6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62" fillId="26" borderId="21" xfId="0" applyFill="true" applyFont="true" applyBorder="true"/>
    <xf numFmtId="0" fontId="0" fillId="0" borderId="21" xfId="0" applyBorder="true"/>
    <xf numFmtId="10" fontId="63" fillId="26" borderId="21" xfId="0" applyFill="true" applyFont="true" applyNumberFormat="true" applyBorder="true"/>
    <xf numFmtId="0" fontId="64" fillId="20" borderId="0" xfId="0" applyFill="true" applyFont="true"/>
    <xf numFmtId="0" fontId="65" fillId="22" borderId="0" xfId="0" applyFill="true" applyFont="true"/>
    <xf numFmtId="0" fontId="6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67" fillId="26" borderId="21" xfId="0" applyFill="true" applyFont="true" applyBorder="true"/>
    <xf numFmtId="0" fontId="0" fillId="0" borderId="21" xfId="0" applyBorder="true"/>
    <xf numFmtId="10" fontId="68" fillId="26" borderId="21" xfId="0" applyFill="true" applyFont="true" applyNumberFormat="true" applyBorder="true"/>
    <xf numFmtId="0" fontId="69" fillId="20" borderId="0" xfId="0" applyFill="true" applyFont="true"/>
    <xf numFmtId="0" fontId="70" fillId="22" borderId="0" xfId="0" applyFill="true" applyFont="true"/>
    <xf numFmtId="0" fontId="7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72" fillId="26" borderId="21" xfId="0" applyFill="true" applyFont="true" applyBorder="true"/>
    <xf numFmtId="0" fontId="0" fillId="0" borderId="21" xfId="0" applyBorder="true"/>
    <xf numFmtId="10" fontId="73" fillId="26" borderId="21" xfId="0" applyFill="true" applyFont="true" applyNumberFormat="true" applyBorder="true"/>
    <xf numFmtId="0" fontId="74" fillId="20" borderId="0" xfId="0" applyFill="true" applyFont="true"/>
    <xf numFmtId="0" fontId="75" fillId="22" borderId="0" xfId="0" applyFill="true" applyFont="true"/>
    <xf numFmtId="0" fontId="7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77" fillId="26" borderId="21" xfId="0" applyFill="true" applyFont="true" applyBorder="true"/>
    <xf numFmtId="0" fontId="0" fillId="0" borderId="21" xfId="0" applyBorder="true"/>
    <xf numFmtId="10" fontId="78" fillId="26" borderId="21" xfId="0" applyFill="true" applyFont="true" applyNumberFormat="true" applyBorder="true"/>
    <xf numFmtId="0" fontId="79" fillId="20" borderId="0" xfId="0" applyFill="true" applyFont="true"/>
    <xf numFmtId="0" fontId="80" fillId="22" borderId="0" xfId="0" applyFill="true" applyFont="true"/>
    <xf numFmtId="0" fontId="8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82" fillId="26" borderId="21" xfId="0" applyFill="true" applyFont="true" applyBorder="true"/>
    <xf numFmtId="0" fontId="0" fillId="0" borderId="21" xfId="0" applyBorder="true"/>
    <xf numFmtId="10" fontId="83" fillId="26" borderId="21" xfId="0" applyFill="true" applyFont="true" applyNumberFormat="true" applyBorder="true"/>
    <xf numFmtId="0" fontId="84" fillId="20" borderId="0" xfId="0" applyFill="true" applyFont="true"/>
    <xf numFmtId="0" fontId="85" fillId="22" borderId="0" xfId="0" applyFill="true" applyFont="true"/>
    <xf numFmtId="0" fontId="8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87" fillId="26" borderId="21" xfId="0" applyFill="true" applyFont="true" applyBorder="true"/>
    <xf numFmtId="0" fontId="0" fillId="0" borderId="21" xfId="0" applyBorder="true"/>
    <xf numFmtId="10" fontId="88" fillId="26" borderId="21" xfId="0" applyFill="true" applyFont="true" applyNumberFormat="true" applyBorder="true"/>
    <xf numFmtId="0" fontId="89" fillId="20" borderId="0" xfId="0" applyFill="true" applyFont="true"/>
    <xf numFmtId="0" fontId="90" fillId="22" borderId="0" xfId="0" applyFill="true" applyFont="true"/>
    <xf numFmtId="0" fontId="9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92" fillId="26" borderId="21" xfId="0" applyFill="true" applyFont="true" applyBorder="true"/>
    <xf numFmtId="0" fontId="0" fillId="0" borderId="21" xfId="0" applyBorder="true"/>
    <xf numFmtId="10" fontId="93" fillId="26" borderId="21" xfId="0" applyFill="true" applyFont="true" applyNumberFormat="true" applyBorder="true"/>
    <xf numFmtId="0" fontId="94" fillId="20" borderId="0" xfId="0" applyFill="true" applyFont="true"/>
    <xf numFmtId="0" fontId="95" fillId="22" borderId="0" xfId="0" applyFill="true" applyFont="true"/>
    <xf numFmtId="0" fontId="9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97" fillId="26" borderId="21" xfId="0" applyFill="true" applyFont="true" applyBorder="true"/>
    <xf numFmtId="0" fontId="0" fillId="0" borderId="21" xfId="0" applyBorder="true"/>
    <xf numFmtId="10" fontId="98" fillId="26" borderId="21" xfId="0" applyFill="true" applyFont="true" applyNumberFormat="true" applyBorder="true"/>
    <xf numFmtId="0" fontId="99" fillId="20" borderId="0" xfId="0" applyFill="true" applyFont="true"/>
    <xf numFmtId="0" fontId="100" fillId="22" borderId="0" xfId="0" applyFill="true" applyFont="true"/>
    <xf numFmtId="0" fontId="10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02" fillId="26" borderId="21" xfId="0" applyFill="true" applyFont="true" applyBorder="true"/>
    <xf numFmtId="0" fontId="0" fillId="0" borderId="21" xfId="0" applyBorder="true"/>
    <xf numFmtId="10" fontId="103" fillId="26" borderId="21" xfId="0" applyFill="true" applyFont="true" applyNumberFormat="true" applyBorder="true"/>
    <xf numFmtId="0" fontId="104" fillId="20" borderId="0" xfId="0" applyFill="true" applyFont="true"/>
    <xf numFmtId="0" fontId="105" fillId="22" borderId="0" xfId="0" applyFill="true" applyFont="true"/>
    <xf numFmtId="0" fontId="10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07" fillId="26" borderId="21" xfId="0" applyFill="true" applyFont="true" applyBorder="true"/>
    <xf numFmtId="0" fontId="0" fillId="0" borderId="21" xfId="0" applyBorder="true"/>
    <xf numFmtId="10" fontId="108" fillId="26" borderId="21" xfId="0" applyFill="true" applyFont="true" applyNumberFormat="true" applyBorder="true"/>
    <xf numFmtId="0" fontId="109" fillId="20" borderId="0" xfId="0" applyFill="true" applyFont="true"/>
    <xf numFmtId="0" fontId="110" fillId="22" borderId="0" xfId="0" applyFill="true" applyFont="true"/>
    <xf numFmtId="0" fontId="11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12" fillId="26" borderId="21" xfId="0" applyFill="true" applyFont="true" applyBorder="true"/>
    <xf numFmtId="0" fontId="0" fillId="0" borderId="21" xfId="0" applyBorder="true"/>
    <xf numFmtId="10" fontId="113" fillId="26" borderId="21" xfId="0" applyFill="true" applyFont="true" applyNumberFormat="true" applyBorder="true"/>
    <xf numFmtId="0" fontId="114" fillId="20" borderId="0" xfId="0" applyFill="true" applyFont="true"/>
    <xf numFmtId="0" fontId="115" fillId="22" borderId="0" xfId="0" applyFill="true" applyFont="true"/>
    <xf numFmtId="0" fontId="11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17" fillId="26" borderId="21" xfId="0" applyFill="true" applyFont="true" applyBorder="true"/>
    <xf numFmtId="0" fontId="0" fillId="0" borderId="21" xfId="0" applyBorder="true"/>
    <xf numFmtId="10" fontId="118" fillId="26" borderId="21" xfId="0" applyFill="true" applyFont="true" applyNumberFormat="true" applyBorder="true"/>
    <xf numFmtId="0" fontId="119" fillId="20" borderId="0" xfId="0" applyFill="true" applyFont="true"/>
    <xf numFmtId="0" fontId="120" fillId="22" borderId="0" xfId="0" applyFill="true" applyFont="true"/>
    <xf numFmtId="0" fontId="12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22" fillId="26" borderId="21" xfId="0" applyFill="true" applyFont="true" applyBorder="true"/>
    <xf numFmtId="0" fontId="0" fillId="0" borderId="21" xfId="0" applyBorder="true"/>
    <xf numFmtId="10" fontId="123" fillId="26" borderId="21" xfId="0" applyFill="true" applyFont="true" applyNumberFormat="true" applyBorder="true"/>
  </cellXfs>
  <cellStyles count="360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count="1" id="1542562997">
        <pm:charStyle Id="1" fontId="0" name="Normal"/>
      </pm:charStyles>
      <pm:colors xmlns:pm="smNativeData" count="6" id="1542562997">
        <pm:color name="Color 24" rgb="FA7D00"/>
        <pm:color name="Color 25" rgb="E26B0A"/>
        <pm:color name="Color 26" rgb="00B050"/>
        <pm:color name="Color 27" rgb="F2F2F2"/>
        <pm:color name="Color 28" rgb="8064A2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anchor="ctr" anchorCtr="1"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2997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ta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ta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QYABw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ta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404" t="s">
        <v>0</v>
      </c>
    </row>
    <row r="3" spans="3:3">
      <c r="C3" s="404"/>
    </row>
    <row r="4" spans="3:3">
      <c r="C4" s="404"/>
    </row>
    <row r="5" spans="3:3">
      <c r="C5" s="404"/>
    </row>
    <row customHeight="1" ht="26.10" r="6" spans="1:1"/>
    <row r="7" spans="2:11">
      <c r="B7" s="374" t="s">
        <v>1</v>
      </c>
      <c r="C7" s="389"/>
      <c r="H7" s="368"/>
      <c r="I7" s="368"/>
      <c r="J7" s="368"/>
      <c r="K7" s="368"/>
    </row>
    <row r="8" spans="2:11">
      <c r="B8" s="374" t="s">
        <v>2</v>
      </c>
      <c r="C8" s="389"/>
      <c r="H8" s="368"/>
      <c r="I8" s="368"/>
      <c r="J8" s="368"/>
      <c r="K8" s="368"/>
    </row>
    <row r="9" spans="2:11">
      <c r="B9" s="369"/>
      <c r="C9" s="370"/>
      <c r="D9" s="368"/>
      <c r="E9" s="368"/>
      <c r="F9" s="368"/>
      <c r="G9" s="368"/>
      <c r="H9" s="368"/>
      <c r="I9" s="368"/>
      <c r="J9" s="368"/>
      <c r="K9" s="368"/>
    </row>
    <row r="10" spans="2:11">
      <c r="B10" s="375" t="s">
        <v>3</v>
      </c>
      <c r="C10" s="390"/>
      <c r="D10" s="368"/>
      <c r="E10" s="375" t="s">
        <v>4</v>
      </c>
      <c r="F10" s="391"/>
      <c r="G10" s="368"/>
      <c r="H10" s="368"/>
      <c r="I10" s="368"/>
      <c r="J10" s="368"/>
      <c r="K10" s="368"/>
    </row>
    <row r="11" spans="2:11">
      <c r="B11" s="375" t="s">
        <v>5</v>
      </c>
      <c r="C11" s="390"/>
      <c r="D11" s="368"/>
      <c r="E11" s="376" t="s">
        <v>6</v>
      </c>
      <c r="F11" s="391"/>
      <c r="G11" s="368"/>
      <c r="H11" s="368"/>
      <c r="I11" s="368"/>
      <c r="J11" s="368"/>
      <c r="K11" s="368"/>
    </row>
    <row r="12" spans="2:11">
      <c r="B12" s="375" t="s">
        <v>7</v>
      </c>
      <c r="C12" s="390"/>
      <c r="D12" s="368"/>
      <c r="E12" s="375" t="s">
        <v>8</v>
      </c>
      <c r="F12" s="391"/>
      <c r="G12" s="368"/>
      <c r="H12" s="368"/>
      <c r="I12" s="368"/>
      <c r="J12" s="368"/>
      <c r="K12" s="368"/>
    </row>
    <row r="13" spans="2:11">
      <c r="B13" s="376" t="s">
        <v>9</v>
      </c>
      <c r="C13" s="390"/>
      <c r="D13" s="368"/>
      <c r="E13" s="375" t="s">
        <v>10</v>
      </c>
      <c r="F13" s="392"/>
      <c r="G13" s="368"/>
      <c r="H13" s="368"/>
      <c r="I13" s="368"/>
      <c r="J13" s="368"/>
      <c r="K13" s="368"/>
    </row>
    <row r="14" spans="2:11">
      <c r="B14" s="368"/>
      <c r="C14" s="368"/>
      <c r="D14" s="368"/>
      <c r="E14" s="368"/>
      <c r="F14" s="368"/>
      <c r="G14" s="368"/>
      <c r="H14" s="368"/>
      <c r="I14" s="368"/>
      <c r="J14" s="368"/>
      <c r="K14" s="368"/>
    </row>
    <row r="15" spans="2:11">
      <c r="B15" s="371"/>
      <c r="C15" s="371"/>
      <c r="D15" s="371"/>
      <c r="E15" s="371"/>
      <c r="F15" s="371"/>
      <c r="G15" s="371"/>
      <c r="H15" s="371"/>
      <c r="I15" s="371"/>
      <c r="J15" s="371"/>
      <c r="K15" s="371"/>
    </row>
    <row r="16" spans="2:11">
      <c r="B16" s="405" t="s">
        <v>11</v>
      </c>
      <c r="C16" s="405"/>
      <c r="D16" s="405"/>
      <c r="E16" s="405"/>
      <c r="F16" s="405"/>
      <c r="G16" s="405"/>
      <c r="H16" s="405"/>
      <c r="I16" s="405"/>
      <c r="J16" s="405"/>
      <c r="K16" s="405"/>
    </row>
    <row r="17" spans="2:11">
      <c r="B17" s="377" t="s">
        <v>12</v>
      </c>
      <c r="C17" s="377" t="s">
        <v>13</v>
      </c>
      <c r="D17" s="377" t="s">
        <v>14</v>
      </c>
      <c r="E17" s="377" t="s">
        <v>15</v>
      </c>
      <c r="F17" s="377" t="s">
        <v>16</v>
      </c>
      <c r="G17" s="377" t="s">
        <v>17</v>
      </c>
      <c r="H17" s="377" t="s">
        <v>18</v>
      </c>
      <c r="I17" s="377" t="s">
        <v>19</v>
      </c>
      <c r="J17" s="377" t="s">
        <v>20</v>
      </c>
      <c r="K17" s="377" t="s">
        <v>21</v>
      </c>
    </row>
    <row r="18" spans="2:11">
      <c r="B18" s="372"/>
      <c r="C18" s="378"/>
      <c r="D18" s="379"/>
      <c r="E18" s="360"/>
      <c r="F18" s="380"/>
      <c r="G18" s="361"/>
      <c r="H18" s="362"/>
      <c r="I18" s="363"/>
      <c r="J18" s="361"/>
      <c r="K18" s="362"/>
    </row>
    <row r="19" spans="2:11">
      <c r="B19" s="372"/>
      <c r="C19" s="378"/>
      <c r="D19" s="379"/>
      <c r="E19" s="360"/>
      <c r="F19" s="380"/>
      <c r="G19" s="361"/>
      <c r="H19" s="362"/>
      <c r="I19" s="363"/>
      <c r="J19" s="361"/>
      <c r="K19" s="362"/>
    </row>
    <row r="20" spans="2:11">
      <c r="B20" s="373"/>
      <c r="C20" s="378"/>
      <c r="D20" s="379"/>
      <c r="E20" s="360"/>
      <c r="F20" s="380"/>
      <c r="G20" s="361"/>
      <c r="H20" s="362"/>
      <c r="I20" s="363"/>
      <c r="J20" s="361"/>
      <c r="K20" s="362"/>
    </row>
    <row r="21" spans="2:11">
      <c r="B21" s="373"/>
      <c r="C21" s="378"/>
      <c r="D21" s="379"/>
      <c r="E21" s="360"/>
      <c r="F21" s="380"/>
      <c r="G21" s="361"/>
      <c r="H21" s="362"/>
      <c r="I21" s="363"/>
      <c r="J21" s="361"/>
      <c r="K21" s="362"/>
    </row>
    <row r="23" spans="2:7">
      <c r="B23" s="406" t="s">
        <v>22</v>
      </c>
      <c r="C23" s="407"/>
      <c r="D23" s="407"/>
      <c r="E23" s="407"/>
      <c r="F23" s="407"/>
      <c r="G23" s="407"/>
    </row>
    <row r="24" spans="2:7">
      <c r="B24" s="364" t="s">
        <v>23</v>
      </c>
      <c r="C24" s="365" t="s">
        <v>24</v>
      </c>
      <c r="D24" s="366"/>
      <c r="E24" s="366"/>
      <c r="F24" s="366"/>
      <c r="G24" s="367"/>
    </row>
    <row r="25" spans="2:7">
      <c r="B25" s="364"/>
      <c r="C25" s="365"/>
      <c r="D25" s="366"/>
      <c r="E25" s="366"/>
      <c r="F25" s="366"/>
      <c r="G25" s="367"/>
    </row>
    <row r="26" spans="2:7">
      <c r="B26" s="364"/>
      <c r="C26" s="365"/>
      <c r="D26" s="366"/>
      <c r="E26" s="366"/>
      <c r="F26" s="366"/>
      <c r="G26" s="367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2997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2997" l="56" r="56" t="56" vertical="0"/>
        <pm:footer xmlns:pm="smNativeData" b="56" borderId="0" fillId="0" id="1542562997" l="56" r="56" t="56" vertical="2"/>
        <pm:paperBin xmlns:pm="smNativeData" Id="0" id="1542562997" type="0" value="0"/>
        <pm:paperBin xmlns:pm="smNativeData" Id="1" id="1542562997" type="0" value="0"/>
      </ext>
    </extLst>
  </headerFooter>
  <extLst>
    <ext uri="smNativeData">
      <pm:sheetPrefs xmlns:pm="smNativeData" day="154256299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17"/>
  <sheetViews>
    <sheetView tabSelected="1" view="normal" workbookViewId="0" zoomScale="85">
      <pane activePane="bottomRight" state="frozen" topLeftCell="H2" xSplit="7" ySplit="1"/>
      <selection activeCell="A2" pane="bottomRight" sqref="A2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48.428571" collapsed="false"/>
    <col min="12" max="12" customWidth="true" width="22.285714" collapsed="false"/>
    <col min="13" max="13" customWidth="true" width="30.821429" collapsed="false"/>
    <col min="14" max="14" customWidth="true" width="36.696429" collapsed="false"/>
    <col min="15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374" t="s">
        <v>12</v>
      </c>
      <c r="B1" s="374" t="s">
        <v>25</v>
      </c>
      <c r="C1" s="374" t="s">
        <v>26</v>
      </c>
      <c r="D1" s="374" t="s">
        <v>27</v>
      </c>
      <c r="E1" s="374" t="s">
        <v>28</v>
      </c>
      <c r="F1" s="374" t="s">
        <v>29</v>
      </c>
      <c r="G1" s="374" t="s">
        <v>30</v>
      </c>
      <c r="H1" s="374" t="s">
        <v>31</v>
      </c>
      <c r="I1" s="374" t="s">
        <v>32</v>
      </c>
      <c r="J1" s="374" t="s">
        <v>33</v>
      </c>
      <c r="K1" s="374" t="s">
        <v>34</v>
      </c>
      <c r="L1" s="374" t="s">
        <v>35</v>
      </c>
      <c r="M1" s="374" t="s">
        <v>36</v>
      </c>
      <c r="N1" s="374" t="s">
        <v>37</v>
      </c>
      <c r="O1" s="374" t="s">
        <v>38</v>
      </c>
      <c r="P1" s="374" t="s">
        <v>39</v>
      </c>
      <c r="Q1" s="374" t="s">
        <v>40</v>
      </c>
      <c r="R1" s="374" t="s">
        <v>41</v>
      </c>
      <c r="S1" s="374" t="s">
        <v>42</v>
      </c>
      <c r="T1" s="374" t="s">
        <v>43</v>
      </c>
      <c r="U1" s="374" t="s">
        <v>44</v>
      </c>
      <c r="V1" s="374" t="s">
        <v>45</v>
      </c>
      <c r="W1" s="374" t="s">
        <v>46</v>
      </c>
      <c r="X1" s="374" t="s">
        <v>47</v>
      </c>
      <c r="Y1" s="374" t="s">
        <v>48</v>
      </c>
    </row>
    <row r="2" spans="1:25">
      <c r="A2" s="399" t="s">
        <v>49</v>
      </c>
      <c r="B2" s="395"/>
      <c r="C2" s="398" t="s">
        <v>50</v>
      </c>
      <c r="D2" s="395" t="s">
        <v>51</v>
      </c>
      <c r="E2" s="395" t="s">
        <v>52</v>
      </c>
      <c r="F2" s="395" t="s">
        <v>53</v>
      </c>
      <c r="G2" s="414" t="s">
        <v>319</v>
      </c>
      <c r="H2" s="400"/>
      <c r="I2" s="395"/>
      <c r="J2" s="395"/>
      <c r="K2" s="395" t="str">
        <f>_XLFN.IFERROR(VLOOKUP(J2,Keyword!$C$2:$D$507,2,FALSE),"")</f>
        <v/>
      </c>
      <c r="L2" s="395"/>
      <c r="M2" s="395"/>
      <c r="N2" s="395"/>
      <c r="O2" s="395"/>
      <c r="P2" s="395"/>
      <c r="Q2" s="395"/>
      <c r="R2" s="395"/>
      <c r="S2" s="395"/>
      <c r="T2" s="395"/>
      <c r="U2" s="395"/>
      <c r="V2" s="395"/>
      <c r="W2" s="395"/>
      <c r="X2" s="395"/>
      <c r="Y2" s="395"/>
    </row>
    <row r="3" spans="1:25">
      <c r="A3" s="399" t="s">
        <v>58</v>
      </c>
      <c r="B3" s="395" t="s">
        <v>58</v>
      </c>
      <c r="C3" s="398" t="s">
        <v>58</v>
      </c>
      <c r="D3" s="395" t="s">
        <v>58</v>
      </c>
      <c r="E3" s="395" t="s">
        <v>58</v>
      </c>
      <c r="F3" s="395" t="s">
        <v>58</v>
      </c>
      <c r="G3" s="395" t="s">
        <v>319</v>
      </c>
      <c r="H3" s="400" t="s">
        <v>317</v>
      </c>
      <c r="I3" s="395" t="s">
        <v>54</v>
      </c>
      <c r="J3" s="395" t="s">
        <v>55</v>
      </c>
      <c r="K3" s="395"/>
      <c r="L3" s="395" t="s">
        <v>58</v>
      </c>
      <c r="M3" s="395" t="s">
        <v>58</v>
      </c>
      <c r="N3" s="395" t="s">
        <v>56</v>
      </c>
      <c r="O3" s="395" t="s">
        <v>57</v>
      </c>
      <c r="P3" s="395" t="s">
        <v>58</v>
      </c>
      <c r="Q3" s="395" t="s">
        <v>58</v>
      </c>
      <c r="R3" s="395" t="s">
        <v>58</v>
      </c>
      <c r="S3" s="395" t="s">
        <v>58</v>
      </c>
      <c r="T3" s="395" t="s">
        <v>58</v>
      </c>
      <c r="U3" s="395" t="s">
        <v>58</v>
      </c>
      <c r="V3" s="395" t="s">
        <v>58</v>
      </c>
      <c r="W3" s="395" t="s">
        <v>58</v>
      </c>
      <c r="X3" s="395" t="s">
        <v>58</v>
      </c>
      <c r="Y3" s="395" t="s">
        <v>58</v>
      </c>
    </row>
    <row r="4" spans="1:25">
      <c r="A4" s="395" t="s">
        <v>58</v>
      </c>
      <c r="B4" s="395" t="s">
        <v>58</v>
      </c>
      <c r="C4" s="395" t="s">
        <v>58</v>
      </c>
      <c r="D4" s="395" t="s">
        <v>58</v>
      </c>
      <c r="E4" s="395" t="s">
        <v>58</v>
      </c>
      <c r="F4" s="395" t="s">
        <v>58</v>
      </c>
      <c r="G4" s="395" t="s">
        <v>319</v>
      </c>
      <c r="H4" s="400" t="s">
        <v>318</v>
      </c>
      <c r="I4" s="395" t="s">
        <v>59</v>
      </c>
      <c r="J4" s="395" t="s">
        <v>60</v>
      </c>
      <c r="K4" s="395" t="str">
        <f>_XLFN.IFERROR(VLOOKUP(J4,Keyword!$C$2:$D$507,2,FALSE),"")</f>
        <v>Go to the specified URL
- Value 1(*): URL of the web page to be opened</v>
      </c>
      <c r="L4" s="395" t="s">
        <v>58</v>
      </c>
      <c r="M4" s="395" t="s">
        <v>58</v>
      </c>
      <c r="N4" s="395" t="s">
        <v>61</v>
      </c>
      <c r="O4" s="395" t="s">
        <v>58</v>
      </c>
      <c r="P4" s="395" t="s">
        <v>58</v>
      </c>
      <c r="Q4" s="395" t="s">
        <v>58</v>
      </c>
      <c r="R4" s="395" t="s">
        <v>58</v>
      </c>
      <c r="S4" s="395" t="s">
        <v>58</v>
      </c>
      <c r="T4" s="395" t="s">
        <v>58</v>
      </c>
      <c r="U4" s="395" t="s">
        <v>58</v>
      </c>
      <c r="V4" s="395" t="s">
        <v>58</v>
      </c>
      <c r="W4" s="395" t="s">
        <v>58</v>
      </c>
      <c r="X4" s="395" t="s">
        <v>58</v>
      </c>
      <c r="Y4" s="395" t="s">
        <v>58</v>
      </c>
    </row>
    <row r="5" spans="1:25">
      <c r="A5" s="399" t="s">
        <v>49</v>
      </c>
      <c r="B5" s="395"/>
      <c r="C5" s="398" t="s">
        <v>62</v>
      </c>
      <c r="D5" s="395" t="s">
        <v>63</v>
      </c>
      <c r="E5" s="395" t="s">
        <v>52</v>
      </c>
      <c r="F5" s="395" t="s">
        <v>53</v>
      </c>
      <c r="G5" s="422" t="s">
        <v>319</v>
      </c>
      <c r="H5" s="400"/>
      <c r="I5" s="395"/>
      <c r="J5" s="395"/>
      <c r="K5" s="395" t="str">
        <f>_XLFN.IFERROR(VLOOKUP(J5,Keyword!$C$2:$D$507,2,FALSE),"")</f>
        <v/>
      </c>
      <c r="L5" s="395"/>
      <c r="M5" s="395"/>
      <c r="N5" s="395"/>
      <c r="O5" s="395"/>
      <c r="P5" s="395"/>
      <c r="Q5" s="395"/>
      <c r="R5" s="395"/>
      <c r="S5" s="395"/>
      <c r="T5" s="395"/>
      <c r="U5" s="395"/>
      <c r="V5" s="395"/>
      <c r="W5" s="395"/>
      <c r="X5" s="395"/>
      <c r="Y5" s="395"/>
    </row>
    <row r="6" spans="1:25">
      <c r="A6" s="395" t="s">
        <v>58</v>
      </c>
      <c r="B6" s="395" t="s">
        <v>58</v>
      </c>
      <c r="C6" s="395" t="s">
        <v>58</v>
      </c>
      <c r="D6" s="395" t="s">
        <v>58</v>
      </c>
      <c r="E6" s="395" t="s">
        <v>58</v>
      </c>
      <c r="F6" s="395" t="s">
        <v>58</v>
      </c>
      <c r="G6" s="395" t="s">
        <v>319</v>
      </c>
      <c r="H6" s="400" t="s">
        <v>317</v>
      </c>
      <c r="I6" s="395" t="s">
        <v>63</v>
      </c>
      <c r="J6" s="395" t="s">
        <v>64</v>
      </c>
      <c r="K6" s="395" t="str">
        <f>_XLFN.IFERROR(VLOOKUP(J6,Keyword!$C$2:$D$507,2,FALSE),"")</f>
        <v>Input value into an input field
- Locator(*): Locator of the element to be inputted
- Value 1: The text to type in</v>
      </c>
      <c r="L6" s="395" t="s">
        <v>58</v>
      </c>
      <c r="M6" s="395" t="s">
        <v>65</v>
      </c>
      <c r="N6" s="395" t="s">
        <v>56</v>
      </c>
      <c r="O6" s="395" t="s">
        <v>58</v>
      </c>
      <c r="P6" s="395" t="s">
        <v>58</v>
      </c>
      <c r="Q6" s="395" t="s">
        <v>58</v>
      </c>
      <c r="R6" s="395" t="s">
        <v>58</v>
      </c>
      <c r="S6" s="395" t="s">
        <v>58</v>
      </c>
      <c r="T6" s="395" t="s">
        <v>58</v>
      </c>
      <c r="U6" s="395" t="s">
        <v>58</v>
      </c>
      <c r="V6" s="395" t="s">
        <v>58</v>
      </c>
      <c r="W6" s="395" t="s">
        <v>58</v>
      </c>
      <c r="X6" s="395" t="s">
        <v>58</v>
      </c>
      <c r="Y6" s="395" t="s">
        <v>58</v>
      </c>
    </row>
    <row r="7" spans="1:25">
      <c r="A7" s="399" t="s">
        <v>49</v>
      </c>
      <c r="B7" s="395"/>
      <c r="C7" s="398" t="s">
        <v>66</v>
      </c>
      <c r="D7" s="395" t="s">
        <v>51</v>
      </c>
      <c r="E7" s="395" t="s">
        <v>52</v>
      </c>
      <c r="F7" s="395" t="s">
        <v>53</v>
      </c>
      <c r="G7" s="430" t="s">
        <v>319</v>
      </c>
      <c r="H7" s="400"/>
      <c r="I7" s="395"/>
      <c r="J7" s="395"/>
      <c r="K7" s="395" t="str">
        <f>_XLFN.IFERROR(VLOOKUP(J7,Keyword!$C$2:$D$507,2,FALSE),"")</f>
        <v/>
      </c>
      <c r="L7" s="395"/>
      <c r="M7" s="395"/>
      <c r="N7" s="395"/>
      <c r="O7" s="395"/>
      <c r="P7" s="395"/>
      <c r="Q7" s="395"/>
      <c r="R7" s="395"/>
      <c r="S7" s="395"/>
      <c r="T7" s="395"/>
      <c r="U7" s="395"/>
      <c r="V7" s="395"/>
      <c r="W7" s="395"/>
      <c r="X7" s="395"/>
      <c r="Y7" s="395"/>
    </row>
    <row r="8" spans="1:25">
      <c r="A8" s="395" t="s">
        <v>58</v>
      </c>
      <c r="B8" s="395" t="s">
        <v>58</v>
      </c>
      <c r="C8" s="395" t="s">
        <v>58</v>
      </c>
      <c r="D8" s="395" t="s">
        <v>58</v>
      </c>
      <c r="E8" s="395" t="s">
        <v>58</v>
      </c>
      <c r="F8" s="395" t="s">
        <v>58</v>
      </c>
      <c r="G8" s="395" t="s">
        <v>319</v>
      </c>
      <c r="H8" s="400" t="s">
        <v>317</v>
      </c>
      <c r="I8" s="395" t="s">
        <v>51</v>
      </c>
      <c r="J8" s="395" t="s">
        <v>67</v>
      </c>
      <c r="K8" s="395" t="str">
        <f>_XLFN.IFERROR(VLOOKUP(J8,Keyword!$C$2:$D$507,2,FALSE),"")</f>
        <v>Verify value of Textbox with specified value
- Locator(*): Locator of the Textbox to be verified
- Value 1(*): The value will be compared to the value of Textbox</v>
      </c>
      <c r="L8" s="395" t="s">
        <v>58</v>
      </c>
      <c r="M8" s="395" t="s">
        <v>65</v>
      </c>
      <c r="N8" s="395" t="s">
        <v>56</v>
      </c>
      <c r="O8" s="395" t="s">
        <v>58</v>
      </c>
      <c r="P8" s="395" t="s">
        <v>58</v>
      </c>
      <c r="Q8" s="395" t="s">
        <v>58</v>
      </c>
      <c r="R8" s="395" t="s">
        <v>58</v>
      </c>
      <c r="S8" s="395" t="s">
        <v>58</v>
      </c>
      <c r="T8" s="395" t="s">
        <v>58</v>
      </c>
      <c r="U8" s="395" t="s">
        <v>58</v>
      </c>
      <c r="V8" s="395" t="s">
        <v>58</v>
      </c>
      <c r="W8" s="395" t="s">
        <v>58</v>
      </c>
      <c r="X8" s="395" t="s">
        <v>58</v>
      </c>
      <c r="Y8" s="395" t="s">
        <v>58</v>
      </c>
    </row>
    <row r="9" spans="1:25">
      <c r="A9" s="399" t="s">
        <v>49</v>
      </c>
      <c r="B9" s="395"/>
      <c r="C9" s="398" t="s">
        <v>68</v>
      </c>
      <c r="D9" s="395" t="s">
        <v>69</v>
      </c>
      <c r="E9" s="395" t="s">
        <v>52</v>
      </c>
      <c r="F9" s="395" t="s">
        <v>53</v>
      </c>
      <c r="G9" s="438" t="s">
        <v>319</v>
      </c>
      <c r="H9" s="400"/>
      <c r="I9" s="395"/>
      <c r="J9" s="395"/>
      <c r="K9" s="395" t="str">
        <f>_XLFN.IFERROR(VLOOKUP(J9,Keyword!$C$2:$D$507,2,FALSE),"")</f>
        <v/>
      </c>
      <c r="L9" s="395"/>
      <c r="M9" s="395"/>
      <c r="N9" s="395"/>
      <c r="O9" s="395"/>
      <c r="P9" s="395"/>
      <c r="Q9" s="395"/>
      <c r="R9" s="395"/>
      <c r="S9" s="395"/>
      <c r="T9" s="395"/>
      <c r="U9" s="395"/>
      <c r="V9" s="395"/>
      <c r="W9" s="395"/>
      <c r="X9" s="395"/>
      <c r="Y9" s="395"/>
    </row>
    <row r="10" spans="1:25">
      <c r="A10" s="395" t="s">
        <v>58</v>
      </c>
      <c r="B10" s="395" t="s">
        <v>58</v>
      </c>
      <c r="C10" s="395" t="s">
        <v>58</v>
      </c>
      <c r="D10" s="395" t="s">
        <v>58</v>
      </c>
      <c r="E10" s="395" t="s">
        <v>58</v>
      </c>
      <c r="F10" s="395" t="s">
        <v>58</v>
      </c>
      <c r="G10" s="395" t="s">
        <v>319</v>
      </c>
      <c r="H10" s="400" t="s">
        <v>317</v>
      </c>
      <c r="I10" s="395" t="s">
        <v>69</v>
      </c>
      <c r="J10" s="395" t="s">
        <v>70</v>
      </c>
      <c r="K10" s="395" t="str">
        <f>_XLFN.IFERROR(VLOOKUP(J10,Keyword!$C$2:$D$507,2,FALSE),"")</f>
        <v>Verify value of Textbox with the result of executing SQL Statement
- Locator(*): Locator of the Textbox to be verified
- Value 1(*): The SQL Statement to be executed (defined in [sqlStatement.properties]). The result of executing SQL Statement will be com</v>
      </c>
      <c r="L10" s="395" t="s">
        <v>58</v>
      </c>
      <c r="M10" s="395" t="s">
        <v>65</v>
      </c>
      <c r="N10" s="395" t="s">
        <v>71</v>
      </c>
      <c r="O10" s="395" t="s">
        <v>58</v>
      </c>
      <c r="P10" s="395" t="s">
        <v>58</v>
      </c>
      <c r="Q10" s="395" t="s">
        <v>58</v>
      </c>
      <c r="R10" s="395" t="s">
        <v>58</v>
      </c>
      <c r="S10" s="395" t="s">
        <v>58</v>
      </c>
      <c r="T10" s="395" t="s">
        <v>58</v>
      </c>
      <c r="U10" s="395" t="s">
        <v>58</v>
      </c>
      <c r="V10" s="395" t="s">
        <v>58</v>
      </c>
      <c r="W10" s="395" t="s">
        <v>58</v>
      </c>
      <c r="X10" s="395" t="s">
        <v>58</v>
      </c>
      <c r="Y10" s="395" t="s">
        <v>58</v>
      </c>
    </row>
    <row r="11" spans="1:25">
      <c r="A11" s="399" t="s">
        <v>49</v>
      </c>
      <c r="B11" s="395"/>
      <c r="C11" s="398" t="s">
        <v>72</v>
      </c>
      <c r="D11" s="395" t="s">
        <v>73</v>
      </c>
      <c r="E11" s="395" t="s">
        <v>52</v>
      </c>
      <c r="F11" s="395" t="s">
        <v>53</v>
      </c>
      <c r="G11" s="447" t="s">
        <v>320</v>
      </c>
      <c r="H11" s="400"/>
      <c r="I11" s="395"/>
      <c r="J11" s="395"/>
      <c r="K11" s="395" t="str">
        <f>_XLFN.IFERROR(VLOOKUP(J11,Keyword!$C$2:$D$507,2,FALSE),"")</f>
        <v/>
      </c>
      <c r="L11" s="395"/>
      <c r="M11" s="395"/>
      <c r="N11" s="395"/>
      <c r="O11" s="395"/>
      <c r="P11" s="395"/>
      <c r="Q11" s="395"/>
      <c r="R11" s="395"/>
      <c r="S11" s="395"/>
      <c r="T11" s="395"/>
      <c r="U11" s="395"/>
      <c r="V11" s="395"/>
      <c r="W11" s="395"/>
      <c r="X11" s="395"/>
      <c r="Y11" s="395"/>
    </row>
    <row customHeight="1" ht="124.50" r="12" spans="1:25">
      <c r="A12" s="395" t="s">
        <v>58</v>
      </c>
      <c r="B12" s="395" t="s">
        <v>58</v>
      </c>
      <c r="C12" s="395" t="s">
        <v>58</v>
      </c>
      <c r="D12" s="395" t="s">
        <v>58</v>
      </c>
      <c r="E12" s="395" t="s">
        <v>58</v>
      </c>
      <c r="F12" s="395" t="s">
        <v>58</v>
      </c>
      <c r="G12" s="395" t="s">
        <v>319</v>
      </c>
      <c r="H12" s="400" t="s">
        <v>317</v>
      </c>
      <c r="I12" s="395" t="s">
        <v>74</v>
      </c>
      <c r="J12" s="395" t="s">
        <v>75</v>
      </c>
      <c r="K12" s="395" t="str">
        <f>_XLFN.IFERROR(VLOOKUP(J12,Keyword!$C$2:$D$507,2,FALSE),"")</f>
        <v>Run SOAPUI Test case
Value 1(*): SOAPUI Bin Folder is defined in [application.properties] (Ex: C:\\Program Files\\SmartBear\\SoapUI-5.4.0\\bin)
Value 2(*): File name of project is defined in [application.properties] (Ex: SampleSOAPProject.xml). All projec</v>
      </c>
      <c r="L12" s="395" t="s">
        <v>58</v>
      </c>
      <c r="M12" s="395" t="s">
        <v>58</v>
      </c>
      <c r="N12" s="395" t="s">
        <v>76</v>
      </c>
      <c r="O12" s="395" t="s">
        <v>77</v>
      </c>
      <c r="P12" s="395" t="s">
        <v>78</v>
      </c>
      <c r="Q12" s="395" t="s">
        <v>79</v>
      </c>
      <c r="R12" s="395" t="s">
        <v>80</v>
      </c>
      <c r="S12" s="395" t="s">
        <v>81</v>
      </c>
      <c r="T12" s="395" t="s">
        <v>58</v>
      </c>
      <c r="U12" s="395" t="s">
        <v>58</v>
      </c>
      <c r="V12" s="395" t="s">
        <v>58</v>
      </c>
      <c r="W12" s="395" t="s">
        <v>58</v>
      </c>
      <c r="X12" s="395" t="s">
        <v>58</v>
      </c>
      <c r="Y12" s="395" t="s">
        <v>58</v>
      </c>
    </row>
    <row customHeight="1" ht="124.50" r="13" spans="1:25">
      <c r="A13" s="395" t="s">
        <v>58</v>
      </c>
      <c r="B13" s="395" t="s">
        <v>58</v>
      </c>
      <c r="C13" s="395" t="s">
        <v>58</v>
      </c>
      <c r="D13" s="395" t="s">
        <v>58</v>
      </c>
      <c r="E13" s="395" t="s">
        <v>58</v>
      </c>
      <c r="F13" s="395" t="s">
        <v>58</v>
      </c>
      <c r="G13" s="395" t="s">
        <v>320</v>
      </c>
      <c r="H13" s="400" t="s">
        <v>318</v>
      </c>
      <c r="I13" s="395" t="s">
        <v>73</v>
      </c>
      <c r="J13" s="395" t="s">
        <v>82</v>
      </c>
      <c r="K13" s="395" t="str">
        <f>_XLFN.IFERROR(VLOOKUP(J13,Keyword!$C$2:$D$507,2,FALSE),"")</f>
        <v>Verify value of Textbox with the result of running WS
NOTE: This keyword is used after running [RUN SOAPUI] keyword
- Locator(*): Locator of the Textbox to be verified
- Value 1(*): xpath (xml) / jsonPath (json) is defined in [locator.properties]
- Value </v>
      </c>
      <c r="L13" s="395" t="s">
        <v>58</v>
      </c>
      <c r="M13" s="395" t="s">
        <v>65</v>
      </c>
      <c r="N13" s="395" t="s">
        <v>83</v>
      </c>
      <c r="O13" s="395" t="s">
        <v>58</v>
      </c>
      <c r="P13" s="395" t="s">
        <v>58</v>
      </c>
      <c r="Q13" s="401" t="s">
        <v>58</v>
      </c>
      <c r="R13" s="395" t="s">
        <v>58</v>
      </c>
      <c r="S13" s="395" t="s">
        <v>58</v>
      </c>
      <c r="T13" s="395" t="s">
        <v>58</v>
      </c>
      <c r="U13" s="395" t="s">
        <v>58</v>
      </c>
      <c r="V13" s="395" t="s">
        <v>58</v>
      </c>
      <c r="W13" s="395" t="s">
        <v>58</v>
      </c>
      <c r="X13" s="395" t="s">
        <v>321</v>
      </c>
      <c r="Y13" s="395" t="s">
        <v>322</v>
      </c>
    </row>
    <row r="14" spans="1:25">
      <c r="A14" s="399" t="s">
        <v>49</v>
      </c>
      <c r="B14" s="395"/>
      <c r="C14" s="398" t="s">
        <v>84</v>
      </c>
      <c r="D14" s="395" t="s">
        <v>85</v>
      </c>
      <c r="E14" s="395" t="s">
        <v>52</v>
      </c>
      <c r="F14" s="395" t="s">
        <v>53</v>
      </c>
      <c r="G14" s="455" t="s">
        <v>320</v>
      </c>
      <c r="H14" s="400"/>
      <c r="I14" s="395"/>
      <c r="J14" s="395"/>
      <c r="K14" s="395" t="str">
        <f>_XLFN.IFERROR(VLOOKUP(J14,Keyword!$C$2:$D$507,2,FALSE),"")</f>
        <v/>
      </c>
      <c r="L14" s="395"/>
      <c r="M14" s="395"/>
      <c r="N14" s="395"/>
      <c r="O14" s="395"/>
      <c r="P14" s="395"/>
      <c r="Q14" s="395"/>
      <c r="R14" s="395"/>
      <c r="S14" s="395"/>
      <c r="T14" s="395"/>
      <c r="U14" s="395"/>
      <c r="V14" s="395"/>
      <c r="W14" s="395"/>
      <c r="X14" s="395"/>
      <c r="Y14" s="395"/>
    </row>
    <row customHeight="1" ht="124.50" r="15" spans="1:25">
      <c r="A15" s="395" t="s">
        <v>58</v>
      </c>
      <c r="B15" s="395" t="s">
        <v>58</v>
      </c>
      <c r="C15" s="395" t="s">
        <v>58</v>
      </c>
      <c r="D15" s="395" t="s">
        <v>58</v>
      </c>
      <c r="E15" s="395" t="s">
        <v>58</v>
      </c>
      <c r="F15" s="395" t="s">
        <v>58</v>
      </c>
      <c r="G15" s="395" t="s">
        <v>319</v>
      </c>
      <c r="H15" s="400" t="s">
        <v>317</v>
      </c>
      <c r="I15" s="395" t="s">
        <v>74</v>
      </c>
      <c r="J15" s="395" t="s">
        <v>75</v>
      </c>
      <c r="K15" s="395" t="str">
        <f>_XLFN.IFERROR(VLOOKUP(J15,Keyword!$C$2:$D$507,2,FALSE),"")</f>
        <v>Run SOAPUI Test case
Value 1(*): SOAPUI Bin Folder is defined in [application.properties] (Ex: C:\\Program Files\\SmartBear\\SoapUI-5.4.0\\bin)
Value 2(*): File name of project is defined in [application.properties] (Ex: SampleSOAPProject.xml). All projec</v>
      </c>
      <c r="L15" s="395" t="s">
        <v>58</v>
      </c>
      <c r="M15" s="395" t="s">
        <v>58</v>
      </c>
      <c r="N15" s="395" t="s">
        <v>76</v>
      </c>
      <c r="O15" s="395" t="s">
        <v>86</v>
      </c>
      <c r="P15" s="395" t="s">
        <v>78</v>
      </c>
      <c r="Q15" s="395" t="s">
        <v>79</v>
      </c>
      <c r="R15" s="395" t="s">
        <v>80</v>
      </c>
      <c r="S15" s="395" t="s">
        <v>87</v>
      </c>
      <c r="T15" s="395" t="s">
        <v>58</v>
      </c>
      <c r="U15" s="395" t="s">
        <v>58</v>
      </c>
      <c r="V15" s="395" t="s">
        <v>58</v>
      </c>
      <c r="W15" s="395" t="s">
        <v>58</v>
      </c>
      <c r="X15" s="395" t="s">
        <v>58</v>
      </c>
      <c r="Y15" s="395" t="s">
        <v>58</v>
      </c>
    </row>
    <row customHeight="1" ht="123.75" r="16" spans="1:25">
      <c r="A16" s="395" t="s">
        <v>58</v>
      </c>
      <c r="B16" s="395" t="s">
        <v>58</v>
      </c>
      <c r="C16" s="395" t="s">
        <v>58</v>
      </c>
      <c r="D16" s="395" t="s">
        <v>58</v>
      </c>
      <c r="E16" s="395" t="s">
        <v>58</v>
      </c>
      <c r="F16" s="395" t="s">
        <v>58</v>
      </c>
      <c r="G16" s="395" t="s">
        <v>320</v>
      </c>
      <c r="H16" s="400" t="s">
        <v>318</v>
      </c>
      <c r="I16" s="395" t="s">
        <v>85</v>
      </c>
      <c r="J16" s="395" t="s">
        <v>82</v>
      </c>
      <c r="K16" s="395" t="str">
        <f>_XLFN.IFERROR(VLOOKUP(J16,Keyword!$C$2:$D$507,2,FALSE),"")</f>
        <v>Verify value of Textbox with the result of running WS
NOTE: This keyword is used after running [RUN SOAPUI] keyword
- Locator(*): Locator of the Textbox to be verified
- Value 1(*): xpath (xml) / jsonPath (json) is defined in [locator.properties]
- Value </v>
      </c>
      <c r="L16" s="395" t="s">
        <v>58</v>
      </c>
      <c r="M16" s="395" t="s">
        <v>65</v>
      </c>
      <c r="N16" s="395" t="s">
        <v>88</v>
      </c>
      <c r="O16" s="395" t="s">
        <v>58</v>
      </c>
      <c r="P16" s="395" t="s">
        <v>58</v>
      </c>
      <c r="Q16" s="395" t="s">
        <v>58</v>
      </c>
      <c r="R16" s="395" t="s">
        <v>58</v>
      </c>
      <c r="S16" s="401" t="s">
        <v>58</v>
      </c>
      <c r="T16" s="395" t="s">
        <v>58</v>
      </c>
      <c r="U16" s="395" t="s">
        <v>58</v>
      </c>
      <c r="V16" s="395" t="s">
        <v>58</v>
      </c>
      <c r="W16" s="395" t="s">
        <v>58</v>
      </c>
      <c r="X16" s="395" t="s">
        <v>323</v>
      </c>
      <c r="Y16" s="395" t="s">
        <v>324</v>
      </c>
    </row>
    <row r="17" spans="1:25">
      <c r="A17" s="397" t="s">
        <v>58</v>
      </c>
      <c r="B17" s="397" t="s">
        <v>58</v>
      </c>
      <c r="C17" s="394" t="s">
        <v>89</v>
      </c>
      <c r="D17" s="394" t="s">
        <v>58</v>
      </c>
      <c r="E17" s="394" t="s">
        <v>58</v>
      </c>
      <c r="F17" s="394" t="s">
        <v>53</v>
      </c>
      <c r="G17" s="397" t="s">
        <v>58</v>
      </c>
      <c r="H17" s="397" t="s">
        <v>58</v>
      </c>
      <c r="I17" s="397" t="s">
        <v>58</v>
      </c>
      <c r="J17" s="397"/>
      <c r="K17" s="397"/>
      <c r="L17" s="397" t="s">
        <v>58</v>
      </c>
      <c r="M17" s="397" t="s">
        <v>58</v>
      </c>
      <c r="N17" s="397" t="s">
        <v>58</v>
      </c>
      <c r="O17" s="397" t="s">
        <v>58</v>
      </c>
      <c r="P17" s="397" t="s">
        <v>58</v>
      </c>
      <c r="Q17" s="397" t="s">
        <v>58</v>
      </c>
      <c r="R17" s="397" t="s">
        <v>58</v>
      </c>
      <c r="S17" s="397" t="s">
        <v>58</v>
      </c>
      <c r="T17" s="397"/>
      <c r="U17" s="397"/>
      <c r="V17" s="397"/>
      <c r="W17" s="397"/>
      <c r="X17" s="397"/>
      <c r="Y17" s="397"/>
    </row>
  </sheetData>
  <autoFilter ref="A1:Y17"/>
  <dataValidations count="6">
    <dataValidation allowBlank="1" errorStyle="stop" operator="between" showInputMessage="1" sqref="E2:E3 E9 E11 E14" type="list" view="0">
      <formula1>"High, Medium, Low"</formula1>
    </dataValidation>
    <dataValidation allowBlank="1" errorStyle="stop" operator="between" showInputMessage="1" sqref="J2:J4 J6 J8:J16" type="list" view="0">
      <formula1>Keyword!$C$2:$C$507</formula1>
    </dataValidation>
    <dataValidation allowBlank="1" errorStyle="stop" operator="between" showInputMessage="1" sqref="E5" type="list" view="0">
      <formula1>"High, Medium, Low"</formula1>
    </dataValidation>
    <dataValidation allowBlank="1" errorStyle="stop" operator="between" showInputMessage="1" sqref="J5" type="list" view="0">
      <formula1>Keyword!$C$2:$C$507</formula1>
    </dataValidation>
    <dataValidation allowBlank="1" errorStyle="stop" operator="between" showInputMessage="1" sqref="E7" type="list" view="0">
      <formula1>"High, Medium, Low"</formula1>
    </dataValidation>
    <dataValidation allowBlank="1" errorStyle="stop" operator="between" showInputMessage="1" sqref="J7" type="list" view="0">
      <formula1>Keyword!$C$2:$C$507</formula1>
    </dataValidation>
  </dataValidations>
  <printOptions>
    <extLst>
      <ext uri="smNativeData">
        <pm:pageFlags xmlns:pm="smNativeData" autoHeightFooter="0" autoHeightHeader="0" fitToPageBoth="0" id="154256299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997" l="56" r="56" t="56" vertical="0"/>
        <pm:footer xmlns:pm="smNativeData" b="56" borderId="0" fillId="0" id="1542562997" l="56" r="56" t="56" vertical="2"/>
        <pm:paperBin xmlns:pm="smNativeData" Id="0" id="1542562997" type="0" value="0"/>
        <pm:paperBin xmlns:pm="smNativeData" Id="1" id="1542562997" type="0" value="0"/>
      </ext>
    </extLst>
  </headerFooter>
  <extLst>
    <ext uri="smNativeData">
      <pm:sheetPrefs xmlns:pm="smNativeData" day="154256299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I14"/>
  <sheetViews>
    <sheetView view="normal" workbookViewId="0" zoomScale="85">
      <selection activeCell="D3" sqref="D3:F14"/>
    </sheetView>
  </sheetViews>
  <sheetFormatPr defaultRowHeight="15.40"/>
  <cols>
    <col min="4" max="4" customWidth="true" width="10.142857" collapsed="false"/>
    <col min="5" max="5" customWidth="true" width="67.285714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>
    <row r="2" spans="8:8">
      <c r="H2" s="2"/>
    </row>
    <row r="3" spans="4:5">
      <c r="D3" s="403" t="s">
        <v>50</v>
      </c>
      <c r="E3" s="402" t="s">
        <v>90</v>
      </c>
    </row>
    <row r="4" spans="5:5">
      <c r="E4" s="401" t="s">
        <v>91</v>
      </c>
    </row>
    <row r="5" spans="5:5">
      <c r="E5" s="401" t="s">
        <v>92</v>
      </c>
    </row>
    <row r="6" spans="5:5">
      <c r="E6" s="401" t="s">
        <v>93</v>
      </c>
    </row>
    <row r="7" spans="5:5">
      <c r="E7" s="401" t="s">
        <v>94</v>
      </c>
    </row>
    <row r="8" spans="5:5">
      <c r="E8" s="401" t="s">
        <v>95</v>
      </c>
    </row>
    <row r="9" spans="5:6">
      <c r="E9" s="401" t="s">
        <v>96</v>
      </c>
      <c r="F9" s="403" t="s">
        <v>50</v>
      </c>
    </row>
    <row r="12" spans="4:5">
      <c r="D12" s="403" t="s">
        <v>62</v>
      </c>
      <c r="E12" s="402" t="s">
        <v>90</v>
      </c>
    </row>
    <row r="13" spans="5:5">
      <c r="E13" s="401" t="s">
        <v>97</v>
      </c>
    </row>
    <row r="14" spans="5:6">
      <c r="E14" s="401" t="s">
        <v>98</v>
      </c>
      <c r="F14" s="403" t="s">
        <v>62</v>
      </c>
    </row>
  </sheetData>
  <printOptions>
    <extLst>
      <ext uri="smNativeData">
        <pm:pageFlags xmlns:pm="smNativeData" autoHeightFooter="0" autoHeightHeader="0" fitToPageBoth="0" id="154256299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997" l="56" r="56" t="56" vertical="0"/>
        <pm:footer xmlns:pm="smNativeData" b="56" borderId="0" fillId="0" id="1542562997" l="56" r="56" t="56" vertical="2"/>
        <pm:paperBin xmlns:pm="smNativeData" Id="0" id="1542562997" type="0" value="0"/>
        <pm:paperBin xmlns:pm="smNativeData" Id="1" id="1542562997" type="0" value="0"/>
      </ext>
    </extLst>
  </headerFooter>
  <extLst>
    <ext uri="smNativeData">
      <pm:sheetPrefs xmlns:pm="smNativeData" day="154256299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B14" sqref="B14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8">
      <c r="A1" s="381"/>
      <c r="B1" s="381"/>
      <c r="C1" s="381"/>
      <c r="D1" s="382"/>
      <c r="E1" s="383"/>
      <c r="F1" s="393" t="s">
        <v>99</v>
      </c>
      <c r="G1" s="396" t="s">
        <v>326</v>
      </c>
      <c r="H1" s="384"/>
      <c r="I1" s="384"/>
      <c r="J1" s="383"/>
    </row>
    <row customHeight="1" ht="15" r="2" spans="1:18">
      <c r="A2" s="381"/>
      <c r="B2" s="381"/>
      <c r="C2" s="381"/>
      <c r="D2" s="382"/>
      <c r="E2" s="383"/>
      <c r="F2" s="393" t="s">
        <v>100</v>
      </c>
      <c r="G2" s="396" t="s">
        <v>327</v>
      </c>
      <c r="H2" s="384"/>
      <c r="I2" s="384"/>
      <c r="J2" s="383"/>
    </row>
    <row customHeight="1" ht="15" r="3" spans="1:18">
      <c r="A3" s="381"/>
      <c r="B3" s="408" t="s">
        <v>101</v>
      </c>
      <c r="C3" s="408"/>
      <c r="D3" s="408"/>
      <c r="E3" s="408"/>
      <c r="F3" s="393" t="s">
        <v>102</v>
      </c>
      <c r="G3" s="396" t="s">
        <v>328</v>
      </c>
      <c r="H3" s="384"/>
      <c r="I3" s="384"/>
      <c r="J3" s="383"/>
    </row>
    <row customHeight="1" ht="12.75" r="4" spans="1:18">
      <c r="A4" s="381"/>
      <c r="B4" s="408"/>
      <c r="C4" s="408"/>
      <c r="D4" s="408"/>
      <c r="E4" s="408"/>
      <c r="F4" s="384"/>
      <c r="G4" s="384"/>
      <c r="H4" s="384"/>
      <c r="I4" s="384"/>
      <c r="J4" s="383"/>
    </row>
    <row customHeight="1" ht="12.75" r="5" spans="1:18">
      <c r="A5" s="381"/>
      <c r="B5" s="408"/>
      <c r="C5" s="408"/>
      <c r="D5" s="408"/>
      <c r="E5" s="408"/>
      <c r="F5" s="384"/>
      <c r="G5" s="384"/>
      <c r="H5" s="384"/>
      <c r="I5" s="384"/>
      <c r="J5" s="383"/>
    </row>
    <row customHeight="1" ht="12.75" r="6" spans="1:18">
      <c r="A6" s="381"/>
      <c r="B6" s="381"/>
      <c r="C6" s="381"/>
      <c r="D6" s="382"/>
      <c r="E6" s="383"/>
      <c r="F6" s="384"/>
      <c r="G6" s="384"/>
      <c r="H6" s="384"/>
      <c r="I6" s="384"/>
      <c r="J6" s="383"/>
    </row>
    <row customHeight="1" ht="15" r="7" spans="1:18">
      <c r="A7" s="381"/>
      <c r="B7" s="409" t="s">
        <v>1</v>
      </c>
      <c r="C7" s="410"/>
      <c r="D7" s="411"/>
      <c r="E7" s="411"/>
      <c r="F7" s="384"/>
      <c r="G7" s="384"/>
      <c r="H7" s="393" t="s">
        <v>103</v>
      </c>
      <c r="I7" s="393" t="s">
        <v>104</v>
      </c>
      <c r="J7" s="383"/>
    </row>
    <row customHeight="1" ht="15" r="8" spans="1:18">
      <c r="A8" s="381"/>
      <c r="B8" s="409" t="s">
        <v>105</v>
      </c>
      <c r="C8" s="410"/>
      <c r="D8" s="411"/>
      <c r="E8" s="411"/>
      <c r="F8" s="384"/>
      <c r="G8" s="384"/>
      <c r="H8" s="387">
        <f>H13</f>
      </c>
      <c r="I8" s="387">
        <f>I13</f>
      </c>
      <c r="J8" s="383"/>
    </row>
    <row customHeight="1" ht="12.75" r="9" spans="1:18">
      <c r="A9" s="381"/>
      <c r="B9" s="381"/>
      <c r="C9" s="381"/>
      <c r="D9" s="382"/>
      <c r="E9" s="383"/>
      <c r="F9" s="384"/>
      <c r="G9" s="384"/>
      <c r="H9" s="384"/>
      <c r="I9" s="384"/>
      <c r="J9" s="383"/>
    </row>
    <row customHeight="1" ht="13.50" r="10" spans="1:18">
      <c r="A10" s="385"/>
      <c r="C10" s="386"/>
      <c r="D10" s="386"/>
      <c r="E10" s="386"/>
      <c r="F10" s="386"/>
      <c r="G10" s="386"/>
      <c r="H10" s="384"/>
      <c r="I10" s="384"/>
      <c r="J10" s="381"/>
    </row>
    <row customHeight="1" ht="15" r="11" spans="1:18">
      <c r="A11" s="385"/>
      <c r="B11" s="393" t="s">
        <v>12</v>
      </c>
      <c r="C11" s="393" t="s">
        <v>103</v>
      </c>
      <c r="D11" s="393" t="s">
        <v>104</v>
      </c>
      <c r="E11" s="393" t="s">
        <v>106</v>
      </c>
      <c r="F11" s="393" t="s">
        <v>107</v>
      </c>
      <c r="G11" s="393" t="s">
        <v>108</v>
      </c>
      <c r="H11" s="393" t="s">
        <v>109</v>
      </c>
      <c r="I11" s="393" t="s">
        <v>110</v>
      </c>
      <c r="J11" s="381"/>
    </row>
    <row customHeight="1" ht="13.50" r="12" spans="1:18">
      <c r="A12" s="385"/>
      <c r="B12" s="524" t="s">
        <v>49</v>
      </c>
      <c r="C12" s="465">
        <f>COUNTIFS(TC!$A$2:$A$65000,B12,TC!$G$2:$G$65000,"PASS")</f>
      </c>
      <c r="D12" s="473">
        <f>COUNTIFS(TC!$A$2:$A$65000,B12,TC!$G$2:$G$65000,"FAIL")</f>
      </c>
      <c r="E12" s="481">
        <f>COUNTIFS(TC!$A$2:$A$65000,B12,TC!$G$2:$G$65000,"SKIP")</f>
      </c>
      <c r="F12" s="489">
        <f>COUNTIF(TC!$A$2:$A$64788,B12)</f>
      </c>
      <c r="G12" s="498">
        <f>IF(F12=0,0,(C12+D12)/F12)</f>
      </c>
      <c r="H12" s="506">
        <f>IF((F12-E12)=0,0,C12/(F12-E12))</f>
      </c>
      <c r="I12" s="514">
        <f>IF((F12-E12)=0,0,D12/(F12-E12))</f>
      </c>
      <c r="J12" s="381"/>
    </row>
    <row customHeight="1" ht="13.50" r="13" spans="1:18">
      <c r="A13" s="385"/>
      <c r="B13" s="531" t="s">
        <v>325</v>
      </c>
      <c r="C13" s="539">
        <f>SUM(C12:C12)</f>
      </c>
      <c r="D13" s="547">
        <f>SUM(D12:D12)</f>
      </c>
      <c r="E13" s="555">
        <f>SUM(E12:E12)</f>
      </c>
      <c r="F13" s="563">
        <f>SUM(F12:F12)</f>
      </c>
      <c r="G13" s="573">
        <f>IF(F13=0,0,(C13+D13)/F13)</f>
      </c>
      <c r="H13" s="581">
        <f>IF((F13-E13)=0,0,(C13)/(F13-E13))</f>
      </c>
      <c r="I13" s="589">
        <f>IF((F13-E13)=0,0,(D13)/(F13-E13))</f>
      </c>
      <c r="J13" s="381"/>
    </row>
    <row customHeight="1" ht="19.50" r="14" spans="1:18">
      <c r="A14" s="381"/>
      <c r="B14" s="381"/>
      <c r="C14" s="381"/>
      <c r="D14" s="381"/>
      <c r="E14" s="381"/>
      <c r="F14" s="381"/>
      <c r="G14" s="381"/>
      <c r="H14" s="381"/>
      <c r="I14" s="381"/>
      <c r="J14" s="381"/>
      <c r="M14" s="388"/>
      <c r="N14" s="388"/>
      <c r="O14" s="388"/>
    </row>
    <row customHeight="1" ht="19.50" r="15" spans="1:18">
      <c r="A15" s="381"/>
      <c r="B15" s="381"/>
      <c r="C15" s="381"/>
      <c r="D15" s="381"/>
      <c r="E15" s="381"/>
      <c r="F15" s="381"/>
      <c r="G15" s="381"/>
      <c r="H15" s="381"/>
      <c r="I15" s="381"/>
      <c r="J15" s="381"/>
      <c r="K15" s="388"/>
      <c r="M15" s="388"/>
      <c r="O15" s="388"/>
    </row>
    <row customHeight="1" ht="19.50" r="16" spans="1:18">
      <c r="A16" s="381"/>
      <c r="B16" s="381"/>
      <c r="C16" s="381"/>
      <c r="D16" s="381"/>
      <c r="E16" s="381"/>
      <c r="F16" s="381"/>
      <c r="G16" s="381"/>
      <c r="H16" s="381"/>
      <c r="I16" s="381"/>
      <c r="J16" s="381"/>
      <c r="K16" s="388"/>
      <c r="M16" s="388"/>
      <c r="O16" s="388"/>
    </row>
    <row customHeight="1" ht="19.50" r="17" spans="1:18">
      <c r="A17" s="381"/>
      <c r="B17" s="381"/>
      <c r="C17" s="381"/>
      <c r="D17" s="381"/>
      <c r="E17" s="381"/>
      <c r="F17" s="381"/>
      <c r="G17" s="381"/>
      <c r="H17" s="381"/>
      <c r="I17" s="381"/>
      <c r="J17" s="381"/>
      <c r="K17" s="388"/>
      <c r="M17" s="388"/>
      <c r="O17" s="388"/>
    </row>
    <row customHeight="1" ht="12.75" r="18" spans="10:18"/>
    <row customHeight="1" ht="12.75" r="19" spans="10:18"/>
    <row customHeight="1" ht="12.75" r="20" spans="10:18"/>
    <row customHeight="1" ht="12.75" r="21" spans="10:18"/>
    <row customHeight="1" ht="12.75" r="22" spans="10:18"/>
    <row customHeight="1" ht="12.75" r="23" spans="10:18"/>
    <row customHeight="1" ht="12.75" r="24" spans="10:18"/>
    <row customHeight="1" ht="12.75" r="25" spans="10:18"/>
    <row customHeight="1" ht="12.75" r="26" spans="10:18"/>
    <row customHeight="1" ht="12.75" r="27" spans="10:18"/>
    <row customHeight="1" ht="12.75" r="28" spans="10:18"/>
    <row customHeight="1" ht="12.75" r="29" spans="10:18"/>
    <row customHeight="1" ht="12.75" r="30" spans="10:18"/>
    <row customHeight="1" ht="12.75" r="31" spans="1:18"/>
    <row customHeight="1" ht="12.75" r="32" spans="1:18"/>
    <row customHeight="1" ht="12.75" r="33" spans="1:18"/>
    <row customHeight="1" ht="12.75" r="34" spans="1:18"/>
    <row customHeight="1" ht="12.75" r="35" spans="1:18"/>
    <row customHeight="1" ht="12.75" r="36" spans="1:18"/>
    <row customHeight="1" ht="12.75" r="37" spans="1:18"/>
    <row customHeight="1" ht="12.75" r="38" spans="1:18"/>
    <row customHeight="1" ht="12.75" r="39" spans="1:18"/>
    <row customHeight="1" ht="12.75" r="40" spans="1:18"/>
    <row customHeight="1" ht="12.75" r="41" spans="1:18"/>
    <row customHeight="1" ht="12.75" r="42" spans="1:18"/>
    <row customHeight="1" ht="12.75" r="43" spans="1:18"/>
    <row customHeight="1" ht="12.75" r="44" spans="1:18"/>
    <row customHeight="1" ht="12.75" r="45" spans="1:18"/>
    <row customHeight="1" ht="12.75" r="46" spans="1:18"/>
    <row customHeight="1" ht="12.75" r="47" spans="1:18"/>
    <row customHeight="1" ht="12.75" r="48" spans="1:18"/>
    <row customHeight="1" ht="12.75" r="49" spans="1:18"/>
    <row customHeight="1" ht="12.75" r="50" spans="1:18"/>
    <row customHeight="1" ht="12.75" r="51" spans="1:18"/>
    <row customHeight="1" ht="12.75" r="52" spans="1:18"/>
    <row customHeight="1" ht="12.75" r="53" spans="1:18"/>
    <row customHeight="1" ht="12.75" r="54" spans="1:18"/>
    <row customHeight="1" ht="12.75" r="55" spans="1:18"/>
    <row customHeight="1" ht="12.75" r="56" spans="1:18"/>
    <row customHeight="1" ht="12.75" r="57" spans="1:18"/>
    <row customHeight="1" ht="12.75" r="58" spans="1:18"/>
    <row customHeight="1" ht="12.75" r="59" spans="1:18"/>
    <row customHeight="1" ht="12.75" r="60" spans="1:18"/>
    <row customHeight="1" ht="12.75" r="61" spans="1:18"/>
    <row customHeight="1" ht="12.75" r="62" spans="1:18"/>
    <row customHeight="1" ht="12.75" r="63" spans="1:18"/>
    <row customHeight="1" ht="12.75" r="64" spans="1:18"/>
    <row customHeight="1" ht="12.75" r="65" spans="1:18"/>
    <row customHeight="1" ht="12.75" r="66" spans="1:18"/>
    <row customHeight="1" ht="12.75" r="67" spans="1:18"/>
    <row customHeight="1" ht="12.75" r="68" spans="1:18"/>
    <row customHeight="1" ht="12.75" r="69" spans="1:18"/>
    <row customHeight="1" ht="12.75" r="70" spans="1:18"/>
    <row customHeight="1" ht="12.75" r="71" spans="1:18"/>
    <row customHeight="1" ht="12.75" r="72" spans="1:18"/>
    <row customHeight="1" ht="12.75" r="73" spans="1:18"/>
    <row customHeight="1" ht="12.75" r="74" spans="1:18"/>
    <row customHeight="1" ht="12.75" r="75" spans="1:18"/>
    <row customHeight="1" ht="12.75" r="76" spans="1:18"/>
    <row customHeight="1" ht="12.75" r="77" spans="1:18"/>
    <row customHeight="1" ht="12.75" r="78" spans="1:18"/>
    <row customHeight="1" ht="12.75" r="79" spans="1:18"/>
    <row customHeight="1" ht="12.75" r="80" spans="1:18"/>
    <row customHeight="1" ht="12.75" r="81" spans="1:18"/>
    <row customHeight="1" ht="12.75" r="82" spans="1:18"/>
    <row customHeight="1" ht="12.75" r="83" spans="1:18"/>
    <row customHeight="1" ht="12.75" r="84" spans="1:18"/>
    <row customHeight="1" ht="12.75" r="85" spans="1:18"/>
    <row customHeight="1" ht="12.75" r="86" spans="1:18"/>
    <row customHeight="1" ht="12.75" r="87" spans="1:18"/>
    <row customHeight="1" ht="12.75" r="88" spans="1:18"/>
    <row customHeight="1" ht="12.75" r="89" spans="1:18"/>
    <row customHeight="1" ht="12.75" r="90" spans="1:18"/>
    <row customHeight="1" ht="12.75" r="91" spans="1:18"/>
    <row customHeight="1" ht="12.75" r="92" spans="1:18"/>
    <row customHeight="1" ht="12.75" r="93" spans="1:18"/>
    <row customHeight="1" ht="12.75" r="94" spans="1:18"/>
    <row customHeight="1" ht="12.75" r="95" spans="1:18"/>
    <row customHeight="1" ht="12.75" r="96" spans="1:18"/>
    <row customHeight="1" ht="12.75" r="97" spans="1:18"/>
    <row customHeight="1" ht="12.75" r="98" spans="1:18"/>
    <row customHeight="1" ht="12.75" r="99" spans="1:18"/>
    <row customHeight="1" ht="12.75" r="100" spans="1:18"/>
    <row customHeight="1" ht="12.75" r="101" spans="1:18"/>
    <row customHeight="1" ht="12.75" r="102" spans="1:18"/>
    <row customHeight="1" ht="12.75" r="103" spans="1:18"/>
    <row customHeight="1" ht="12.75" r="104" spans="1:18"/>
    <row customHeight="1" ht="12.75" r="105" spans="1:18"/>
    <row customHeight="1" ht="12.75" r="106" spans="1:18"/>
    <row customHeight="1" ht="12.75" r="107" spans="1:18"/>
    <row customHeight="1" ht="12.75" r="108" spans="1:18"/>
    <row customHeight="1" ht="12.75" r="109" spans="1:18"/>
    <row customHeight="1" ht="12.75" r="110" spans="1:18"/>
    <row customHeight="1" ht="12.75" r="111" spans="1:18"/>
    <row customHeight="1" ht="12.75" r="112" spans="1:18"/>
    <row customHeight="1" ht="12.75" r="113" spans="1:18"/>
    <row customHeight="1" ht="12.75" r="114" spans="1:18"/>
    <row customHeight="1" ht="12.75" r="115" spans="1:18"/>
    <row customHeight="1" ht="12.75" r="116" spans="1:18"/>
    <row customHeight="1" ht="12.75" r="117" spans="1:18"/>
    <row customHeight="1" ht="12.75" r="118" spans="1:18"/>
    <row customHeight="1" ht="12.75" r="119" spans="1:18"/>
    <row customHeight="1" ht="12.75" r="120" spans="1:18"/>
    <row customHeight="1" ht="12.75" r="121" spans="1:18"/>
    <row customHeight="1" ht="12.75" r="122" spans="1:18"/>
    <row customHeight="1" ht="12.75" r="123" spans="1:18"/>
    <row customHeight="1" ht="12.75" r="124" spans="1:18"/>
    <row customHeight="1" ht="12.75" r="125" spans="1:18"/>
    <row customHeight="1" ht="12.75" r="126" spans="1:18"/>
    <row customHeight="1" ht="12.75" r="127" spans="1:18"/>
    <row customHeight="1" ht="12.75" r="128" spans="1:18"/>
    <row customHeight="1" ht="12.75" r="129" spans="1:18"/>
    <row customHeight="1" ht="12.75" r="130" spans="1:18"/>
    <row customHeight="1" ht="12.75" r="131" spans="1:18"/>
    <row customHeight="1" ht="12.75" r="132" spans="1:18"/>
    <row customHeight="1" ht="12.75" r="133" spans="1:18"/>
    <row customHeight="1" ht="12.75" r="134" spans="1:18"/>
    <row customHeight="1" ht="12.75" r="135" spans="1:18"/>
    <row customHeight="1" ht="12.75" r="136" spans="1:18"/>
    <row customHeight="1" ht="12.75" r="137" spans="1:18"/>
    <row customHeight="1" ht="12.75" r="138" spans="1:18"/>
    <row customHeight="1" ht="12.75" r="139" spans="1:18"/>
    <row customHeight="1" ht="12.75" r="140" spans="1:18"/>
    <row customHeight="1" ht="12.75" r="141" spans="1:18"/>
    <row customHeight="1" ht="12.75" r="142" spans="1:18"/>
    <row customHeight="1" ht="12.75" r="143" spans="1:18"/>
    <row customHeight="1" ht="12.75" r="144" spans="1:18"/>
    <row customHeight="1" ht="12.75" r="145" spans="1:18"/>
    <row customHeight="1" ht="12.75" r="146" spans="1:18"/>
    <row customHeight="1" ht="12.75" r="147" spans="1:18"/>
    <row customHeight="1" ht="12.75" r="148" spans="1:18"/>
    <row customHeight="1" ht="12.75" r="149" spans="1:18"/>
    <row customHeight="1" ht="12.75" r="150" spans="1:18"/>
    <row customHeight="1" ht="12.75" r="151" spans="1:18"/>
    <row customHeight="1" ht="12.75" r="152" spans="1:18"/>
    <row customHeight="1" ht="12.75" r="153" spans="1:18"/>
    <row customHeight="1" ht="12.75" r="154" spans="1:18"/>
    <row customHeight="1" ht="12.75" r="155" spans="1:18"/>
    <row customHeight="1" ht="12.75" r="156" spans="1:18"/>
    <row customHeight="1" ht="12.75" r="157" spans="1:18"/>
    <row customHeight="1" ht="12.75" r="158" spans="1:18"/>
    <row customHeight="1" ht="12.75" r="159" spans="1:18"/>
    <row customHeight="1" ht="12.75" r="160" spans="1:18"/>
    <row customHeight="1" ht="12.75" r="161" spans="1:18"/>
    <row customHeight="1" ht="12.75" r="162" spans="1:18"/>
    <row customHeight="1" ht="12.75" r="163" spans="1:18"/>
    <row customHeight="1" ht="12.75" r="164" spans="1:18"/>
    <row customHeight="1" ht="12.75" r="165" spans="1:18"/>
    <row customHeight="1" ht="12.75" r="166" spans="1:18"/>
    <row customHeight="1" ht="12.75" r="167" spans="1:18"/>
    <row customHeight="1" ht="12.75" r="168" spans="1:18"/>
    <row customHeight="1" ht="12.75" r="169" spans="1:18"/>
    <row customHeight="1" ht="12.75" r="170" spans="1:18"/>
    <row customHeight="1" ht="12.75" r="171" spans="1:18"/>
    <row customHeight="1" ht="12.75" r="172" spans="1:18"/>
    <row customHeight="1" ht="12.75" r="173" spans="1:18"/>
    <row customHeight="1" ht="12.75" r="174" spans="1:18"/>
    <row customHeight="1" ht="12.75" r="175" spans="1:18"/>
    <row customHeight="1" ht="12.75" r="176" spans="1:18"/>
    <row customHeight="1" ht="12.75" r="177" spans="1:18"/>
    <row customHeight="1" ht="12.75" r="178" spans="1:18"/>
    <row customHeight="1" ht="12.75" r="179" spans="1:18"/>
    <row customHeight="1" ht="12.75" r="180" spans="1:18"/>
    <row customHeight="1" ht="12.75" r="181" spans="1:18"/>
    <row customHeight="1" ht="12.75" r="182" spans="1:18"/>
    <row customHeight="1" ht="12.75" r="183" spans="1:18"/>
    <row customHeight="1" ht="12.75" r="184" spans="1:18"/>
    <row customHeight="1" ht="12.75" r="185" spans="1:18"/>
    <row customHeight="1" ht="12.75" r="186" spans="1:18"/>
    <row customHeight="1" ht="12.75" r="187" spans="1:18"/>
    <row customHeight="1" ht="12.75" r="188" spans="1:18"/>
    <row customHeight="1" ht="12.75" r="189" spans="1:18"/>
    <row customHeight="1" ht="12.75" r="190" spans="1:18"/>
    <row customHeight="1" ht="12.75" r="191" spans="1:18"/>
    <row customHeight="1" ht="12.75" r="192" spans="1:18"/>
    <row customHeight="1" ht="12.75" r="193" spans="1:18"/>
    <row customHeight="1" ht="12.75" r="194" spans="1:18"/>
    <row customHeight="1" ht="12.75" r="195" spans="1:18"/>
    <row customHeight="1" ht="12.75" r="196" spans="1:18"/>
    <row customHeight="1" ht="12.75" r="197" spans="1:18"/>
    <row customHeight="1" ht="12.75" r="198" spans="1:18"/>
    <row customHeight="1" ht="12.75" r="199" spans="1:18"/>
    <row customHeight="1" ht="12.75" r="200" spans="1:18"/>
    <row customHeight="1" ht="12.75" r="201" spans="1:18"/>
    <row customHeight="1" ht="12.75" r="202" spans="1:18"/>
    <row customHeight="1" ht="12.75" r="203" spans="1:18"/>
    <row customHeight="1" ht="12.75" r="204" spans="1:18"/>
    <row customHeight="1" ht="12.75" r="205" spans="1:18"/>
    <row customHeight="1" ht="12.75" r="206" spans="1:18"/>
    <row customHeight="1" ht="12.75" r="207" spans="1:18"/>
    <row customHeight="1" ht="12.75" r="208" spans="1:18"/>
    <row customHeight="1" ht="12.75" r="209" spans="1:18"/>
    <row customHeight="1" ht="12.75" r="210" spans="1:18"/>
    <row customHeight="1" ht="12.75" r="211" spans="1:18"/>
    <row customHeight="1" ht="12.75" r="212" spans="1:18"/>
    <row customHeight="1" ht="12.75" r="213" spans="1:18"/>
    <row customHeight="1" ht="12.75" r="214" spans="1:18"/>
    <row customHeight="1" ht="12.75" r="215" spans="1:18"/>
    <row customHeight="1" ht="12.75" r="216" spans="1:18"/>
    <row customHeight="1" ht="12.75" r="217" spans="1:18"/>
    <row customHeight="1" ht="12.75" r="218" spans="1:18"/>
    <row customHeight="1" ht="12.75" r="219" spans="1:18"/>
    <row customHeight="1" ht="12.75" r="220" spans="1:18"/>
    <row customHeight="1" ht="12.75" r="221" spans="1:18"/>
    <row customHeight="1" ht="12.75" r="222" spans="1:18"/>
    <row customHeight="1" ht="12.75" r="223" spans="1:18"/>
    <row customHeight="1" ht="12.75" r="224" spans="1:18"/>
    <row customHeight="1" ht="12.75" r="225" spans="1:18"/>
    <row customHeight="1" ht="12.75" r="226" spans="1:18"/>
    <row customHeight="1" ht="12.75" r="227" spans="1:18"/>
    <row customHeight="1" ht="12.75" r="228" spans="1:18"/>
    <row customHeight="1" ht="12.75" r="229" spans="1:18"/>
    <row customHeight="1" ht="12.75" r="230" spans="1:18"/>
    <row customHeight="1" ht="12.75" r="231" spans="1:18"/>
    <row customHeight="1" ht="12.75" r="232" spans="1:18"/>
    <row customHeight="1" ht="12.75" r="233" spans="1:18"/>
    <row customHeight="1" ht="12.75" r="234" spans="1:18"/>
    <row customHeight="1" ht="12.75" r="235" spans="1:18"/>
    <row customHeight="1" ht="12.75" r="236" spans="1:18"/>
    <row customHeight="1" ht="12.75" r="237" spans="1:18"/>
    <row customHeight="1" ht="12.75" r="238" spans="1:18"/>
    <row customHeight="1" ht="12.75" r="239" spans="1:18"/>
    <row customHeight="1" ht="12.75" r="240" spans="1:18"/>
    <row customHeight="1" ht="12.75" r="241" spans="1:18"/>
    <row customHeight="1" ht="12.75" r="242" spans="1:18"/>
    <row customHeight="1" ht="12.75" r="243" spans="1:18"/>
    <row customHeight="1" ht="12.75" r="244" spans="1:18"/>
    <row customHeight="1" ht="12.75" r="245" spans="1:18"/>
    <row customHeight="1" ht="12.75" r="246" spans="1:18"/>
    <row customHeight="1" ht="12.75" r="247" spans="1:18"/>
    <row customHeight="1" ht="12.75" r="248" spans="1:18"/>
    <row customHeight="1" ht="12.75" r="249" spans="1:18"/>
    <row customHeight="1" ht="12.75" r="250" spans="1:18"/>
    <row customHeight="1" ht="12.75" r="251" spans="1:18"/>
    <row customHeight="1" ht="12.75" r="252" spans="1:18"/>
    <row customHeight="1" ht="12.75" r="253" spans="1:18"/>
    <row customHeight="1" ht="12.75" r="254" spans="1:18"/>
    <row customHeight="1" ht="12.75" r="255" spans="1:18"/>
    <row customHeight="1" ht="12.75" r="256" spans="1:18"/>
    <row customHeight="1" ht="12.75" r="257" spans="1:18"/>
    <row customHeight="1" ht="12.75" r="258" spans="1:18"/>
    <row customHeight="1" ht="12.75" r="259" spans="1:18"/>
    <row customHeight="1" ht="12.75" r="260" spans="1:18"/>
    <row customHeight="1" ht="12.75" r="261" spans="1:18"/>
    <row customHeight="1" ht="12.75" r="262" spans="1:18"/>
    <row customHeight="1" ht="12.75" r="263" spans="1:18"/>
    <row customHeight="1" ht="12.75" r="264" spans="1:18"/>
    <row customHeight="1" ht="12.75" r="265" spans="1:18"/>
    <row customHeight="1" ht="12.75" r="266" spans="1:18"/>
    <row customHeight="1" ht="12.75" r="267" spans="1:18"/>
    <row customHeight="1" ht="12.75" r="268" spans="1:18"/>
    <row customHeight="1" ht="12.75" r="269" spans="1:18"/>
    <row customHeight="1" ht="12.75" r="270" spans="1:18"/>
    <row customHeight="1" ht="12.75" r="271" spans="1:18"/>
    <row customHeight="1" ht="12.75" r="272" spans="1:18"/>
    <row customHeight="1" ht="12.75" r="273" spans="1:18"/>
    <row customHeight="1" ht="12.75" r="274" spans="1:18"/>
    <row customHeight="1" ht="12.75" r="275" spans="1:18"/>
    <row customHeight="1" ht="12.75" r="276" spans="1:18"/>
    <row customHeight="1" ht="12.75" r="277" spans="1:18"/>
    <row customHeight="1" ht="12.75" r="278" spans="1:18"/>
    <row customHeight="1" ht="12.75" r="279" spans="1:18"/>
    <row customHeight="1" ht="12.75" r="280" spans="1:18"/>
    <row customHeight="1" ht="12.75" r="281" spans="1:18"/>
    <row customHeight="1" ht="12.75" r="282" spans="1:18"/>
    <row customHeight="1" ht="12.75" r="283" spans="1:18"/>
    <row customHeight="1" ht="12.75" r="284" spans="1:18"/>
    <row customHeight="1" ht="12.75" r="285" spans="1:18"/>
    <row customHeight="1" ht="12.75" r="286" spans="1:18"/>
    <row customHeight="1" ht="12.75" r="287" spans="1:18"/>
    <row customHeight="1" ht="12.75" r="288" spans="1:18"/>
    <row customHeight="1" ht="12.75" r="289" spans="1:18"/>
    <row customHeight="1" ht="12.75" r="290" spans="1:18"/>
    <row customHeight="1" ht="12.75" r="291" spans="1:18"/>
    <row customHeight="1" ht="12.75" r="292" spans="1:18"/>
    <row customHeight="1" ht="12.75" r="293" spans="1:18"/>
    <row customHeight="1" ht="12.75" r="294" spans="1:18"/>
    <row customHeight="1" ht="12.75" r="295" spans="1:18"/>
    <row customHeight="1" ht="12.75" r="296" spans="1:18"/>
    <row customHeight="1" ht="12.75" r="297" spans="1:18"/>
    <row customHeight="1" ht="12.75" r="298" spans="1:18"/>
    <row customHeight="1" ht="12.75" r="299" spans="1:18"/>
    <row customHeight="1" ht="12.75" r="300" spans="1:18"/>
    <row customHeight="1" ht="12.75" r="301" spans="1:18"/>
    <row customHeight="1" ht="12.75" r="302" spans="1:18"/>
    <row customHeight="1" ht="12.75" r="303" spans="1:18"/>
    <row customHeight="1" ht="12.75" r="304" spans="1:18"/>
    <row customHeight="1" ht="12.75" r="305" spans="1:18"/>
    <row customHeight="1" ht="12.75" r="306" spans="1:18"/>
    <row customHeight="1" ht="12.75" r="307" spans="1:18"/>
    <row customHeight="1" ht="12.75" r="308" spans="1:18"/>
    <row customHeight="1" ht="12.75" r="309" spans="1:18"/>
    <row customHeight="1" ht="12.75" r="310" spans="1:18"/>
    <row customHeight="1" ht="12.75" r="311" spans="1:18"/>
    <row customHeight="1" ht="12.75" r="312" spans="1:18"/>
    <row customHeight="1" ht="12.75" r="313" spans="1:18"/>
    <row customHeight="1" ht="12.75" r="314" spans="1:18"/>
    <row customHeight="1" ht="12.75" r="315" spans="1:18"/>
    <row customHeight="1" ht="12.75" r="316" spans="1:18"/>
    <row customHeight="1" ht="12.75" r="317" spans="1:18"/>
    <row customHeight="1" ht="12.75" r="318" spans="1:18"/>
    <row customHeight="1" ht="12.75" r="319" spans="1:18"/>
    <row customHeight="1" ht="12.75" r="320" spans="1:18"/>
    <row customHeight="1" ht="12.75" r="321" spans="1:18"/>
    <row customHeight="1" ht="12.75" r="322" spans="1:18"/>
    <row customHeight="1" ht="12.75" r="323" spans="1:18"/>
    <row customHeight="1" ht="12.75" r="324" spans="1:18"/>
    <row customHeight="1" ht="12.75" r="325" spans="1:18"/>
    <row customHeight="1" ht="12.75" r="326" spans="1:18"/>
    <row customHeight="1" ht="12.75" r="327" spans="1:18"/>
    <row customHeight="1" ht="12.75" r="328" spans="1:18"/>
    <row customHeight="1" ht="12.75" r="329" spans="1:18"/>
    <row customHeight="1" ht="12.75" r="330" spans="1:18"/>
    <row customHeight="1" ht="12.75" r="331" spans="1:18"/>
    <row customHeight="1" ht="12.75" r="332" spans="1:18"/>
    <row customHeight="1" ht="12.75" r="333" spans="1:18"/>
    <row customHeight="1" ht="12.75" r="334" spans="1:18"/>
    <row customHeight="1" ht="12.75" r="335" spans="1:18"/>
    <row customHeight="1" ht="12.75" r="336" spans="1:18"/>
    <row customHeight="1" ht="12.75" r="337" spans="1:18"/>
    <row customHeight="1" ht="12.75" r="338" spans="1:18"/>
    <row customHeight="1" ht="12.75" r="339" spans="1:18"/>
    <row customHeight="1" ht="12.75" r="340" spans="1:18"/>
    <row customHeight="1" ht="12.75" r="341" spans="1:18"/>
    <row customHeight="1" ht="12.75" r="342" spans="1:18"/>
    <row customHeight="1" ht="12.75" r="343" spans="1:18"/>
    <row customHeight="1" ht="12.75" r="344" spans="1:18"/>
    <row customHeight="1" ht="12.75" r="345" spans="1:18"/>
    <row customHeight="1" ht="12.75" r="346" spans="1:18"/>
    <row customHeight="1" ht="12.75" r="347" spans="1:18"/>
    <row customHeight="1" ht="12.75" r="348" spans="1:18"/>
    <row customHeight="1" ht="12.75" r="349" spans="1:18"/>
    <row customHeight="1" ht="12.75" r="350" spans="1:18"/>
    <row customHeight="1" ht="12.75" r="351" spans="1:18"/>
    <row customHeight="1" ht="12.75" r="352" spans="1:18"/>
    <row customHeight="1" ht="12.75" r="353" spans="1:18"/>
    <row customHeight="1" ht="12.75" r="354" spans="1:18"/>
    <row customHeight="1" ht="12.75" r="355" spans="1:18"/>
    <row customHeight="1" ht="12.75" r="356" spans="1:18"/>
    <row customHeight="1" ht="12.75" r="357" spans="1:18"/>
    <row customHeight="1" ht="12.75" r="358" spans="1:18"/>
    <row customHeight="1" ht="12.75" r="359" spans="1:18"/>
    <row customHeight="1" ht="12.75" r="360" spans="1:18"/>
    <row customHeight="1" ht="12.75" r="361" spans="1:18"/>
    <row customHeight="1" ht="12.75" r="362" spans="1:18"/>
    <row customHeight="1" ht="12.75" r="363" spans="1:18"/>
    <row customHeight="1" ht="12.75" r="364" spans="1:18"/>
    <row customHeight="1" ht="12.75" r="365" spans="1:18"/>
    <row customHeight="1" ht="12.75" r="366" spans="1:18"/>
    <row customHeight="1" ht="12.75" r="367" spans="1:18"/>
    <row customHeight="1" ht="12.75" r="368" spans="1:18"/>
    <row customHeight="1" ht="12.75" r="369" spans="1:18"/>
    <row customHeight="1" ht="12.75" r="370" spans="1:18"/>
    <row customHeight="1" ht="12.75" r="371" spans="1:18"/>
    <row customHeight="1" ht="12.75" r="372" spans="1:18"/>
    <row customHeight="1" ht="12.75" r="373" spans="1:18"/>
    <row customHeight="1" ht="12.75" r="374" spans="1:18"/>
    <row customHeight="1" ht="12.75" r="375" spans="1:18"/>
    <row customHeight="1" ht="12.75" r="376" spans="1:18"/>
    <row customHeight="1" ht="12.75" r="377" spans="1:18"/>
    <row customHeight="1" ht="12.75" r="378" spans="1:18"/>
    <row customHeight="1" ht="12.75" r="379" spans="1:18"/>
    <row customHeight="1" ht="12.75" r="380" spans="1:18"/>
    <row customHeight="1" ht="12.75" r="381" spans="1:18"/>
    <row customHeight="1" ht="12.75" r="382" spans="1:18"/>
    <row customHeight="1" ht="12.75" r="383" spans="1:18"/>
    <row customHeight="1" ht="12.75" r="384" spans="1:18"/>
    <row customHeight="1" ht="12.75" r="385" spans="1:18"/>
    <row customHeight="1" ht="12.75" r="386" spans="1:18"/>
    <row customHeight="1" ht="12.75" r="387" spans="1:18"/>
    <row customHeight="1" ht="12.75" r="388" spans="1:18"/>
    <row customHeight="1" ht="12.75" r="389" spans="1:18"/>
    <row customHeight="1" ht="12.75" r="390" spans="1:18"/>
    <row customHeight="1" ht="12.75" r="391" spans="1:18"/>
    <row customHeight="1" ht="12.75" r="392" spans="1:18"/>
    <row customHeight="1" ht="12.75" r="393" spans="1:18"/>
    <row customHeight="1" ht="12.75" r="394" spans="1:18"/>
    <row customHeight="1" ht="12.75" r="395" spans="1:18"/>
    <row customHeight="1" ht="12.75" r="396" spans="1:18"/>
    <row customHeight="1" ht="12.75" r="397" spans="1:18"/>
    <row customHeight="1" ht="12.75" r="398" spans="1:18"/>
    <row customHeight="1" ht="12.75" r="399" spans="1:18"/>
    <row customHeight="1" ht="12.75" r="400" spans="1:18"/>
    <row customHeight="1" ht="12.75" r="401" spans="1:18"/>
    <row customHeight="1" ht="12.75" r="402" spans="1:18"/>
    <row customHeight="1" ht="12.75" r="403" spans="1:18"/>
    <row customHeight="1" ht="12.75" r="404" spans="1:18"/>
    <row customHeight="1" ht="12.75" r="405" spans="1:18"/>
    <row customHeight="1" ht="12.75" r="406" spans="1:18"/>
    <row customHeight="1" ht="12.75" r="407" spans="1:18"/>
    <row customHeight="1" ht="12.75" r="408" spans="1:18"/>
    <row customHeight="1" ht="12.75" r="409" spans="1:18"/>
    <row customHeight="1" ht="12.75" r="410" spans="1:18"/>
    <row customHeight="1" ht="12.75" r="411" spans="1:18"/>
    <row customHeight="1" ht="12.75" r="412" spans="1:18"/>
    <row customHeight="1" ht="12.75" r="413" spans="1:18"/>
    <row customHeight="1" ht="12.75" r="414" spans="1:18"/>
    <row customHeight="1" ht="12.75" r="415" spans="1:18"/>
    <row customHeight="1" ht="12.75" r="416" spans="1:18"/>
    <row customHeight="1" ht="12.75" r="417" spans="1:18"/>
    <row customHeight="1" ht="12.75" r="418" spans="1:18"/>
    <row customHeight="1" ht="12.75" r="419" spans="1:18"/>
    <row customHeight="1" ht="12.75" r="420" spans="1:18"/>
    <row customHeight="1" ht="12.75" r="421" spans="1:18"/>
    <row customHeight="1" ht="12.75" r="422" spans="1:18"/>
    <row customHeight="1" ht="12.75" r="423" spans="1:18"/>
    <row customHeight="1" ht="12.75" r="424" spans="1:18"/>
    <row customHeight="1" ht="12.75" r="425" spans="1:18"/>
    <row customHeight="1" ht="12.75" r="426" spans="1:18"/>
    <row customHeight="1" ht="12.75" r="427" spans="1:18"/>
    <row customHeight="1" ht="12.75" r="428" spans="1:18"/>
    <row customHeight="1" ht="12.75" r="429" spans="1:18"/>
    <row customHeight="1" ht="12.75" r="430" spans="1:18"/>
    <row customHeight="1" ht="12.75" r="431" spans="1:18"/>
    <row customHeight="1" ht="12.75" r="432" spans="1:18"/>
    <row customHeight="1" ht="12.75" r="433" spans="1:18"/>
    <row customHeight="1" ht="12.75" r="434" spans="1:18"/>
    <row customHeight="1" ht="12.75" r="435" spans="1:18"/>
    <row customHeight="1" ht="12.75" r="436" spans="1:18"/>
    <row customHeight="1" ht="12.75" r="437" spans="1:18"/>
    <row customHeight="1" ht="12.75" r="438" spans="1:18"/>
    <row customHeight="1" ht="12.75" r="439" spans="1:18"/>
    <row customHeight="1" ht="12.75" r="440" spans="1:18"/>
    <row customHeight="1" ht="12.75" r="441" spans="1:18"/>
    <row customHeight="1" ht="12.75" r="442" spans="1:18"/>
    <row customHeight="1" ht="12.75" r="443" spans="1:18"/>
    <row customHeight="1" ht="12.75" r="444" spans="1:18"/>
    <row customHeight="1" ht="12.75" r="445" spans="1:18"/>
    <row customHeight="1" ht="12.75" r="446" spans="1:18"/>
    <row customHeight="1" ht="12.75" r="447" spans="1:18"/>
    <row customHeight="1" ht="12.75" r="448" spans="1:18"/>
    <row customHeight="1" ht="12.75" r="449" spans="1:18"/>
    <row customHeight="1" ht="12.75" r="450" spans="1:18"/>
    <row customHeight="1" ht="12.75" r="451" spans="1:18"/>
    <row customHeight="1" ht="12.75" r="452" spans="1:18"/>
    <row customHeight="1" ht="12.75" r="453" spans="1:18"/>
    <row customHeight="1" ht="12.75" r="454" spans="1:18"/>
    <row customHeight="1" ht="12.75" r="455" spans="1:18"/>
    <row customHeight="1" ht="12.75" r="456" spans="1:18"/>
    <row customHeight="1" ht="12.75" r="457" spans="1:18"/>
    <row customHeight="1" ht="12.75" r="458" spans="1:18"/>
    <row customHeight="1" ht="12.75" r="459" spans="1:18"/>
    <row customHeight="1" ht="12.75" r="460" spans="1:18"/>
    <row customHeight="1" ht="12.75" r="461" spans="1:18"/>
    <row customHeight="1" ht="12.75" r="462" spans="1:18"/>
    <row customHeight="1" ht="12.75" r="463" spans="1:18"/>
    <row customHeight="1" ht="12.75" r="464" spans="1:18"/>
    <row customHeight="1" ht="12.75" r="465" spans="1:18"/>
    <row customHeight="1" ht="12.75" r="466" spans="1:18"/>
    <row customHeight="1" ht="12.75" r="467" spans="1:18"/>
    <row customHeight="1" ht="12.75" r="468" spans="1:18"/>
    <row customHeight="1" ht="12.75" r="469" spans="1:18"/>
    <row customHeight="1" ht="12.75" r="470" spans="1:18"/>
    <row customHeight="1" ht="12.75" r="471" spans="1:18"/>
    <row customHeight="1" ht="12.75" r="472" spans="1:18"/>
    <row customHeight="1" ht="12.75" r="473" spans="1:18"/>
    <row customHeight="1" ht="12.75" r="474" spans="1:18"/>
    <row customHeight="1" ht="12.75" r="475" spans="1:18"/>
    <row customHeight="1" ht="12.75" r="476" spans="1:18"/>
    <row customHeight="1" ht="12.75" r="477" spans="1:18"/>
    <row customHeight="1" ht="12.75" r="478" spans="1:18"/>
    <row customHeight="1" ht="12.75" r="479" spans="1:18"/>
    <row customHeight="1" ht="12.75" r="480" spans="1:18"/>
    <row customHeight="1" ht="12.75" r="481" spans="1:18"/>
    <row customHeight="1" ht="12.75" r="482" spans="1:18"/>
    <row customHeight="1" ht="12.75" r="483" spans="1:18"/>
    <row customHeight="1" ht="12.75" r="484" spans="1:18"/>
    <row customHeight="1" ht="12.75" r="485" spans="1:18"/>
    <row customHeight="1" ht="12.75" r="486" spans="1:18"/>
    <row customHeight="1" ht="12.75" r="487" spans="1:18"/>
    <row customHeight="1" ht="12.75" r="488" spans="1:18"/>
    <row customHeight="1" ht="12.75" r="489" spans="1:18"/>
    <row customHeight="1" ht="12.75" r="490" spans="1:18"/>
    <row customHeight="1" ht="12.75" r="491" spans="1:18"/>
    <row customHeight="1" ht="12.75" r="492" spans="1:18"/>
    <row customHeight="1" ht="12.75" r="493" spans="1:18"/>
    <row customHeight="1" ht="12.75" r="494" spans="1:18"/>
    <row customHeight="1" ht="12.75" r="495" spans="1:18"/>
    <row customHeight="1" ht="12.75" r="496" spans="1:18"/>
    <row customHeight="1" ht="12.75" r="497" spans="1:18"/>
    <row customHeight="1" ht="12.75" r="498" spans="1:18"/>
    <row customHeight="1" ht="12.75" r="499" spans="1:18"/>
    <row customHeight="1" ht="12.75" r="500" spans="1:18"/>
    <row customHeight="1" ht="12.75" r="501" spans="1:18"/>
    <row customHeight="1" ht="12.75" r="502" spans="1:18"/>
    <row customHeight="1" ht="12.75" r="503" spans="1:18"/>
    <row customHeight="1" ht="12.75" r="504" spans="1:18"/>
    <row customHeight="1" ht="12.75" r="505" spans="1:18"/>
    <row customHeight="1" ht="12.75" r="506" spans="1:18"/>
    <row customHeight="1" ht="12.75" r="507" spans="1:18"/>
    <row customHeight="1" ht="12.75" r="508" spans="1:18"/>
    <row customHeight="1" ht="12.75" r="509" spans="1:18"/>
    <row customHeight="1" ht="12.75" r="510" spans="1:18"/>
    <row customHeight="1" ht="12.75" r="511" spans="1:18"/>
    <row customHeight="1" ht="12.75" r="512" spans="1:18"/>
    <row customHeight="1" ht="12.75" r="513" spans="1:18"/>
    <row customHeight="1" ht="12.75" r="514" spans="1:18"/>
    <row customHeight="1" ht="12.75" r="515" spans="1:18"/>
    <row customHeight="1" ht="12.75" r="516" spans="1:18"/>
    <row customHeight="1" ht="12.75" r="517" spans="1:18"/>
    <row customHeight="1" ht="12.75" r="518" spans="1:18"/>
    <row customHeight="1" ht="12.75" r="519" spans="1:18"/>
    <row customHeight="1" ht="12.75" r="520" spans="1:18"/>
    <row customHeight="1" ht="12.75" r="521" spans="1:18"/>
    <row customHeight="1" ht="12.75" r="522" spans="1:18"/>
    <row customHeight="1" ht="12.75" r="523" spans="1:18"/>
    <row customHeight="1" ht="12.75" r="524" spans="1:18"/>
    <row customHeight="1" ht="12.75" r="525" spans="1:18"/>
    <row customHeight="1" ht="12.75" r="526" spans="1:18"/>
    <row customHeight="1" ht="12.75" r="527" spans="1:18"/>
    <row customHeight="1" ht="12.75" r="528" spans="1:18"/>
    <row customHeight="1" ht="12.75" r="529" spans="1:18"/>
    <row customHeight="1" ht="12.75" r="530" spans="1:18"/>
    <row customHeight="1" ht="12.75" r="531" spans="1:18"/>
    <row customHeight="1" ht="12.75" r="532" spans="1:18"/>
    <row customHeight="1" ht="12.75" r="533" spans="1:18"/>
    <row customHeight="1" ht="12.75" r="534" spans="1:18"/>
    <row customHeight="1" ht="12.75" r="535" spans="1:18"/>
    <row customHeight="1" ht="12.75" r="536" spans="1:18"/>
    <row customHeight="1" ht="12.75" r="537" spans="1:18"/>
    <row customHeight="1" ht="12.75" r="538" spans="1:18"/>
    <row customHeight="1" ht="12.75" r="539" spans="1:18"/>
    <row customHeight="1" ht="12.75" r="540" spans="1:18"/>
    <row customHeight="1" ht="12.75" r="541" spans="1:18"/>
    <row customHeight="1" ht="12.75" r="542" spans="1:18"/>
    <row customHeight="1" ht="12.75" r="543" spans="1:18"/>
    <row customHeight="1" ht="12.75" r="544" spans="1:18"/>
    <row customHeight="1" ht="12.75" r="545" spans="1:18"/>
    <row customHeight="1" ht="12.75" r="546" spans="1:18"/>
    <row customHeight="1" ht="12.75" r="547" spans="1:18"/>
    <row customHeight="1" ht="12.75" r="548" spans="1:18"/>
    <row customHeight="1" ht="12.75" r="549" spans="1:18"/>
    <row customHeight="1" ht="12.75" r="550" spans="1:18"/>
    <row customHeight="1" ht="12.75" r="551" spans="1:18"/>
    <row customHeight="1" ht="12.75" r="552" spans="1:18"/>
    <row customHeight="1" ht="12.75" r="553" spans="1:18"/>
    <row customHeight="1" ht="12.75" r="554" spans="1:18"/>
    <row customHeight="1" ht="12.75" r="555" spans="1:18"/>
    <row customHeight="1" ht="12.75" r="556" spans="1:18"/>
    <row customHeight="1" ht="12.75" r="557" spans="1:18"/>
    <row customHeight="1" ht="12.75" r="558" spans="1:18"/>
    <row customHeight="1" ht="12.75" r="559" spans="1:18"/>
    <row customHeight="1" ht="12.75" r="560" spans="1:18"/>
    <row customHeight="1" ht="12.75" r="561" spans="1:18"/>
    <row customHeight="1" ht="12.75" r="562" spans="1:18"/>
    <row customHeight="1" ht="12.75" r="563" spans="1:18"/>
    <row customHeight="1" ht="12.75" r="564" spans="1:18"/>
    <row customHeight="1" ht="12.75" r="565" spans="1:18"/>
    <row customHeight="1" ht="12.75" r="566" spans="1:18"/>
    <row customHeight="1" ht="12.75" r="567" spans="1:18"/>
    <row customHeight="1" ht="12.75" r="568" spans="1:18"/>
    <row customHeight="1" ht="12.75" r="569" spans="1:18"/>
    <row customHeight="1" ht="12.75" r="570" spans="1:18"/>
    <row customHeight="1" ht="12.75" r="571" spans="1:18"/>
    <row customHeight="1" ht="12.75" r="572" spans="1:18"/>
    <row customHeight="1" ht="12.75" r="573" spans="1:18"/>
    <row customHeight="1" ht="12.75" r="574" spans="1:18"/>
    <row customHeight="1" ht="12.75" r="575" spans="1:18"/>
    <row customHeight="1" ht="12.75" r="576" spans="1:18"/>
    <row customHeight="1" ht="12.75" r="577" spans="1:18"/>
    <row customHeight="1" ht="12.75" r="578" spans="1:18"/>
    <row customHeight="1" ht="12.75" r="579" spans="1:18"/>
    <row customHeight="1" ht="12.75" r="580" spans="1:18"/>
    <row customHeight="1" ht="12.75" r="581" spans="1:18"/>
    <row customHeight="1" ht="12.75" r="582" spans="1:18"/>
    <row customHeight="1" ht="12.75" r="583" spans="1:18"/>
    <row customHeight="1" ht="12.75" r="584" spans="1:18"/>
    <row customHeight="1" ht="12.75" r="585" spans="1:18"/>
    <row customHeight="1" ht="12.75" r="586" spans="1:18"/>
    <row customHeight="1" ht="12.75" r="587" spans="1:18"/>
    <row customHeight="1" ht="12.75" r="588" spans="1:18"/>
    <row customHeight="1" ht="12.75" r="589" spans="1:18"/>
    <row customHeight="1" ht="12.75" r="590" spans="1:18"/>
    <row customHeight="1" ht="12.75" r="591" spans="1:18"/>
    <row customHeight="1" ht="12.75" r="592" spans="1:18"/>
    <row customHeight="1" ht="12.75" r="593" spans="1:18"/>
    <row customHeight="1" ht="12.75" r="594" spans="1:18"/>
    <row customHeight="1" ht="12.75" r="595" spans="1:18"/>
    <row customHeight="1" ht="12.75" r="596" spans="1:18"/>
    <row customHeight="1" ht="12.75" r="597" spans="1:18"/>
    <row customHeight="1" ht="12.75" r="598" spans="1:18"/>
    <row customHeight="1" ht="12.75" r="599" spans="1:18"/>
    <row customHeight="1" ht="12.75" r="600" spans="1:18"/>
    <row customHeight="1" ht="12.75" r="601" spans="1:18"/>
    <row customHeight="1" ht="12.75" r="602" spans="1:18"/>
    <row customHeight="1" ht="12.75" r="603" spans="1:18"/>
    <row customHeight="1" ht="12.75" r="604" spans="1:18"/>
    <row customHeight="1" ht="12.75" r="605" spans="1:18"/>
    <row customHeight="1" ht="12.75" r="606" spans="1:18"/>
    <row customHeight="1" ht="12.75" r="607" spans="1:18"/>
    <row customHeight="1" ht="12.75" r="608" spans="1:18"/>
    <row customHeight="1" ht="12.75" r="609" spans="1:18"/>
    <row customHeight="1" ht="12.75" r="610" spans="1:18"/>
    <row customHeight="1" ht="12.75" r="611" spans="1:18"/>
    <row customHeight="1" ht="12.75" r="612" spans="1:18"/>
    <row customHeight="1" ht="12.75" r="613" spans="1:18"/>
    <row customHeight="1" ht="12.75" r="614" spans="1:18"/>
    <row customHeight="1" ht="12.75" r="615" spans="1:18"/>
    <row customHeight="1" ht="12.75" r="616" spans="1:18"/>
    <row customHeight="1" ht="12.75" r="617" spans="1:18"/>
    <row customHeight="1" ht="12.75" r="618" spans="1:18"/>
    <row customHeight="1" ht="12.75" r="619" spans="1:18"/>
    <row customHeight="1" ht="12.75" r="620" spans="1:18"/>
    <row customHeight="1" ht="12.75" r="621" spans="1:18"/>
    <row customHeight="1" ht="12.75" r="622" spans="1:18"/>
    <row customHeight="1" ht="12.75" r="623" spans="1:18"/>
    <row customHeight="1" ht="12.75" r="624" spans="1:18"/>
    <row customHeight="1" ht="12.75" r="625" spans="1:18"/>
    <row customHeight="1" ht="12.75" r="626" spans="1:18"/>
    <row customHeight="1" ht="12.75" r="627" spans="1:18"/>
    <row customHeight="1" ht="12.75" r="628" spans="1:18"/>
    <row customHeight="1" ht="12.75" r="629" spans="1:18"/>
    <row customHeight="1" ht="12.75" r="630" spans="1:18"/>
    <row customHeight="1" ht="12.75" r="631" spans="1:18"/>
    <row customHeight="1" ht="12.75" r="632" spans="1:18"/>
    <row customHeight="1" ht="12.75" r="633" spans="1:18"/>
    <row customHeight="1" ht="12.75" r="634" spans="1:18"/>
    <row customHeight="1" ht="12.75" r="635" spans="1:18"/>
    <row customHeight="1" ht="12.75" r="636" spans="1:18"/>
    <row customHeight="1" ht="12.75" r="637" spans="1:18"/>
    <row customHeight="1" ht="12.75" r="638" spans="1:18"/>
    <row customHeight="1" ht="12.75" r="639" spans="1:18"/>
    <row customHeight="1" ht="12.75" r="640" spans="1:18"/>
    <row customHeight="1" ht="12.75" r="641" spans="1:18"/>
    <row customHeight="1" ht="12.75" r="642" spans="1:18"/>
    <row customHeight="1" ht="12.75" r="643" spans="1:18"/>
    <row customHeight="1" ht="12.75" r="644" spans="1:18"/>
    <row customHeight="1" ht="12.75" r="645" spans="1:18"/>
    <row customHeight="1" ht="12.75" r="646" spans="1:18"/>
    <row customHeight="1" ht="12.75" r="647" spans="1:18"/>
    <row customHeight="1" ht="12.75" r="648" spans="1:18"/>
    <row customHeight="1" ht="12.75" r="649" spans="1:18"/>
    <row customHeight="1" ht="12.75" r="650" spans="1:18"/>
    <row customHeight="1" ht="12.75" r="651" spans="1:18"/>
    <row customHeight="1" ht="12.75" r="652" spans="1:18"/>
    <row customHeight="1" ht="12.75" r="653" spans="1:18"/>
    <row customHeight="1" ht="12.75" r="654" spans="1:18"/>
    <row customHeight="1" ht="12.75" r="655" spans="1:18"/>
    <row customHeight="1" ht="12.75" r="656" spans="1:18"/>
    <row customHeight="1" ht="12.75" r="657" spans="1:18"/>
    <row customHeight="1" ht="12.75" r="658" spans="1:18"/>
    <row customHeight="1" ht="12.75" r="659" spans="1:18"/>
    <row customHeight="1" ht="12.75" r="660" spans="1:18"/>
    <row customHeight="1" ht="12.75" r="661" spans="1:18"/>
    <row customHeight="1" ht="12.75" r="662" spans="1:18"/>
    <row customHeight="1" ht="12.75" r="663" spans="1:18"/>
    <row customHeight="1" ht="12.75" r="664" spans="1:18"/>
    <row customHeight="1" ht="12.75" r="665" spans="1:18"/>
    <row customHeight="1" ht="12.75" r="666" spans="1:18"/>
    <row customHeight="1" ht="12.75" r="667" spans="1:18"/>
    <row customHeight="1" ht="12.75" r="668" spans="1:18"/>
    <row customHeight="1" ht="12.75" r="669" spans="1:18"/>
    <row customHeight="1" ht="12.75" r="670" spans="1:18"/>
    <row customHeight="1" ht="12.75" r="671" spans="1:18"/>
    <row customHeight="1" ht="12.75" r="672" spans="1:18"/>
    <row customHeight="1" ht="12.75" r="673" spans="1:18"/>
    <row customHeight="1" ht="12.75" r="674" spans="1:18"/>
    <row customHeight="1" ht="12.75" r="675" spans="1:18"/>
    <row customHeight="1" ht="12.75" r="676" spans="1:18"/>
    <row customHeight="1" ht="12.75" r="677" spans="1:18"/>
    <row customHeight="1" ht="12.75" r="678" spans="1:18"/>
    <row customHeight="1" ht="12.75" r="679" spans="1:18"/>
    <row customHeight="1" ht="12.75" r="680" spans="1:18"/>
    <row customHeight="1" ht="12.75" r="681" spans="1:18"/>
    <row customHeight="1" ht="12.75" r="682" spans="1:18"/>
    <row customHeight="1" ht="12.75" r="683" spans="1:18"/>
    <row customHeight="1" ht="12.75" r="684" spans="1:18"/>
    <row customHeight="1" ht="12.75" r="685" spans="1:18"/>
    <row customHeight="1" ht="12.75" r="686" spans="1:18"/>
    <row customHeight="1" ht="12.75" r="687" spans="1:18"/>
    <row customHeight="1" ht="12.75" r="688" spans="1:18"/>
    <row customHeight="1" ht="12.75" r="689" spans="1:18"/>
    <row customHeight="1" ht="12.75" r="690" spans="1:18"/>
    <row customHeight="1" ht="12.75" r="691" spans="1:18"/>
    <row customHeight="1" ht="12.75" r="692" spans="1:18"/>
    <row customHeight="1" ht="12.75" r="693" spans="1:18"/>
    <row customHeight="1" ht="12.75" r="694" spans="1:18"/>
    <row customHeight="1" ht="12.75" r="695" spans="1:18"/>
    <row customHeight="1" ht="12.75" r="696" spans="1:18"/>
    <row customHeight="1" ht="12.75" r="697" spans="1:18"/>
    <row customHeight="1" ht="12.75" r="698" spans="1:18"/>
    <row customHeight="1" ht="12.75" r="699" spans="1:18"/>
    <row customHeight="1" ht="12.75" r="700" spans="1:18"/>
    <row customHeight="1" ht="12.75" r="701" spans="1:18"/>
    <row customHeight="1" ht="12.75" r="702" spans="1:18"/>
    <row customHeight="1" ht="12.75" r="703" spans="1:18"/>
    <row customHeight="1" ht="12.75" r="704" spans="1:18"/>
    <row customHeight="1" ht="12.75" r="705" spans="1:18"/>
    <row customHeight="1" ht="12.75" r="706" spans="1:18"/>
    <row customHeight="1" ht="12.75" r="707" spans="1:18"/>
    <row customHeight="1" ht="12.75" r="708" spans="1:18"/>
    <row customHeight="1" ht="12.75" r="709" spans="1:18"/>
    <row customHeight="1" ht="12.75" r="710" spans="1:18"/>
    <row customHeight="1" ht="12.75" r="711" spans="1:18"/>
    <row customHeight="1" ht="12.75" r="712" spans="1:18"/>
    <row customHeight="1" ht="12.75" r="713" spans="1:18"/>
    <row customHeight="1" ht="12.75" r="714" spans="1:18"/>
    <row customHeight="1" ht="12.75" r="715" spans="1:18"/>
    <row customHeight="1" ht="12.75" r="716" spans="1:18"/>
    <row customHeight="1" ht="12.75" r="717" spans="1:18"/>
    <row customHeight="1" ht="12.75" r="718" spans="1:18"/>
    <row customHeight="1" ht="12.75" r="719" spans="1:18"/>
    <row customHeight="1" ht="12.75" r="720" spans="1:18"/>
    <row customHeight="1" ht="12.75" r="721" spans="1:18"/>
    <row customHeight="1" ht="12.75" r="722" spans="1:18"/>
    <row customHeight="1" ht="12.75" r="723" spans="1:18"/>
    <row customHeight="1" ht="12.75" r="724" spans="1:18"/>
    <row customHeight="1" ht="12.75" r="725" spans="1:18"/>
    <row customHeight="1" ht="12.75" r="726" spans="1:18"/>
    <row customHeight="1" ht="12.75" r="727" spans="1:18"/>
    <row customHeight="1" ht="12.75" r="728" spans="1:18"/>
    <row customHeight="1" ht="12.75" r="729" spans="1:18"/>
    <row customHeight="1" ht="12.75" r="730" spans="1:18"/>
    <row customHeight="1" ht="12.75" r="731" spans="1:18"/>
    <row customHeight="1" ht="12.75" r="732" spans="1:18"/>
    <row customHeight="1" ht="12.75" r="733" spans="1:18"/>
    <row customHeight="1" ht="12.75" r="734" spans="1:18"/>
    <row customHeight="1" ht="12.75" r="735" spans="1:18"/>
    <row customHeight="1" ht="12.75" r="736" spans="1:18"/>
    <row customHeight="1" ht="12.75" r="737" spans="1:18"/>
    <row customHeight="1" ht="12.75" r="738" spans="1:18"/>
    <row customHeight="1" ht="12.75" r="739" spans="1:18"/>
    <row customHeight="1" ht="12.75" r="740" spans="1:18"/>
    <row customHeight="1" ht="12.75" r="741" spans="1:18"/>
    <row customHeight="1" ht="12.75" r="742" spans="1:18"/>
    <row customHeight="1" ht="12.75" r="743" spans="1:18"/>
    <row customHeight="1" ht="12.75" r="744" spans="1:18"/>
    <row customHeight="1" ht="12.75" r="745" spans="1:18"/>
    <row customHeight="1" ht="12.75" r="746" spans="1:18"/>
    <row customHeight="1" ht="12.75" r="747" spans="1:18"/>
    <row customHeight="1" ht="12.75" r="748" spans="1:18"/>
    <row customHeight="1" ht="12.75" r="749" spans="1:18"/>
    <row customHeight="1" ht="12.75" r="750" spans="1:18"/>
    <row customHeight="1" ht="12.75" r="751" spans="1:18"/>
    <row customHeight="1" ht="12.75" r="752" spans="1:18"/>
    <row customHeight="1" ht="12.75" r="753" spans="1:18"/>
    <row customHeight="1" ht="12.75" r="754" spans="1:18"/>
    <row customHeight="1" ht="12.75" r="755" spans="1:18"/>
    <row customHeight="1" ht="12.75" r="756" spans="1:18"/>
    <row customHeight="1" ht="12.75" r="757" spans="1:18"/>
    <row customHeight="1" ht="12.75" r="758" spans="1:18"/>
    <row customHeight="1" ht="12.75" r="759" spans="1:18"/>
    <row customHeight="1" ht="12.75" r="760" spans="1:18"/>
    <row customHeight="1" ht="12.75" r="761" spans="1:18"/>
    <row customHeight="1" ht="12.75" r="762" spans="1:18"/>
    <row customHeight="1" ht="12.75" r="763" spans="1:18"/>
    <row customHeight="1" ht="12.75" r="764" spans="1:18"/>
    <row customHeight="1" ht="12.75" r="765" spans="1:18"/>
    <row customHeight="1" ht="12.75" r="766" spans="1:18"/>
    <row customHeight="1" ht="12.75" r="767" spans="1:18"/>
    <row customHeight="1" ht="12.75" r="768" spans="1:18"/>
    <row customHeight="1" ht="12.75" r="769" spans="1:18"/>
    <row customHeight="1" ht="12.75" r="770" spans="1:18"/>
    <row customHeight="1" ht="12.75" r="771" spans="1:18"/>
    <row customHeight="1" ht="12.75" r="772" spans="1:18"/>
    <row customHeight="1" ht="12.75" r="773" spans="1:18"/>
    <row customHeight="1" ht="12.75" r="774" spans="1:18"/>
    <row customHeight="1" ht="12.75" r="775" spans="1:18"/>
    <row customHeight="1" ht="12.75" r="776" spans="1:18"/>
    <row customHeight="1" ht="12.75" r="777" spans="1:18"/>
    <row customHeight="1" ht="12.75" r="778" spans="1:18"/>
    <row customHeight="1" ht="12.75" r="779" spans="1:18"/>
    <row customHeight="1" ht="12.75" r="780" spans="1:18"/>
    <row customHeight="1" ht="12.75" r="781" spans="1:18"/>
    <row customHeight="1" ht="12.75" r="782" spans="1:18"/>
    <row customHeight="1" ht="12.75" r="783" spans="1:18"/>
    <row customHeight="1" ht="12.75" r="784" spans="1:18"/>
    <row customHeight="1" ht="12.75" r="785" spans="1:18"/>
    <row customHeight="1" ht="12.75" r="786" spans="1:18"/>
    <row customHeight="1" ht="12.75" r="787" spans="1:18"/>
    <row customHeight="1" ht="12.75" r="788" spans="1:18"/>
    <row customHeight="1" ht="12.75" r="789" spans="1:18"/>
    <row customHeight="1" ht="12.75" r="790" spans="1:18"/>
    <row customHeight="1" ht="12.75" r="791" spans="1:18"/>
    <row customHeight="1" ht="12.75" r="792" spans="1:18"/>
    <row customHeight="1" ht="12.75" r="793" spans="1:18"/>
    <row customHeight="1" ht="12.75" r="794" spans="1:18"/>
    <row customHeight="1" ht="12.75" r="795" spans="1:18"/>
    <row customHeight="1" ht="12.75" r="796" spans="1:18"/>
    <row customHeight="1" ht="12.75" r="797" spans="1:18"/>
    <row customHeight="1" ht="12.75" r="798" spans="1:18"/>
    <row customHeight="1" ht="12.75" r="799" spans="1:18"/>
    <row customHeight="1" ht="12.75" r="800" spans="1:18"/>
    <row customHeight="1" ht="12.75" r="801" spans="1:18"/>
    <row customHeight="1" ht="12.75" r="802" spans="1:18"/>
    <row customHeight="1" ht="12.75" r="803" spans="1:18"/>
    <row customHeight="1" ht="12.75" r="804" spans="1:18"/>
    <row customHeight="1" ht="12.75" r="805" spans="1:18"/>
    <row customHeight="1" ht="12.75" r="806" spans="1:18"/>
    <row customHeight="1" ht="12.75" r="807" spans="1:18"/>
    <row customHeight="1" ht="12.75" r="808" spans="1:18"/>
    <row customHeight="1" ht="12.75" r="809" spans="1:18"/>
    <row customHeight="1" ht="12.75" r="810" spans="1:18"/>
    <row customHeight="1" ht="12.75" r="811" spans="1:18"/>
    <row customHeight="1" ht="12.75" r="812" spans="1:18"/>
    <row customHeight="1" ht="12.75" r="813" spans="1:18"/>
    <row customHeight="1" ht="12.75" r="814" spans="1:18"/>
    <row customHeight="1" ht="12.75" r="815" spans="1:18"/>
    <row customHeight="1" ht="12.75" r="816" spans="1:18"/>
    <row customHeight="1" ht="12.75" r="817" spans="1:18"/>
    <row customHeight="1" ht="12.75" r="818" spans="1:18"/>
    <row customHeight="1" ht="12.75" r="819" spans="1:18"/>
    <row customHeight="1" ht="12.75" r="820" spans="1:18"/>
    <row customHeight="1" ht="12.75" r="821" spans="1:18"/>
    <row customHeight="1" ht="12.75" r="822" spans="1:18"/>
    <row customHeight="1" ht="12.75" r="823" spans="1:18"/>
    <row customHeight="1" ht="12.75" r="824" spans="1:18"/>
    <row customHeight="1" ht="12.75" r="825" spans="1:18"/>
    <row customHeight="1" ht="12.75" r="826" spans="1:18"/>
    <row customHeight="1" ht="12.75" r="827" spans="1:18"/>
    <row customHeight="1" ht="12.75" r="828" spans="1:18"/>
    <row customHeight="1" ht="12.75" r="829" spans="1:18"/>
    <row customHeight="1" ht="12.75" r="830" spans="1:18"/>
    <row customHeight="1" ht="12.75" r="831" spans="1:18"/>
    <row customHeight="1" ht="12.75" r="832" spans="1:18"/>
    <row customHeight="1" ht="12.75" r="833" spans="1:18"/>
    <row customHeight="1" ht="12.75" r="834" spans="1:18"/>
    <row customHeight="1" ht="12.75" r="835" spans="1:18"/>
    <row customHeight="1" ht="12.75" r="836" spans="1:18"/>
    <row customHeight="1" ht="12.75" r="837" spans="1:18"/>
    <row customHeight="1" ht="12.75" r="838" spans="1:18"/>
    <row customHeight="1" ht="12.75" r="839" spans="1:18"/>
    <row customHeight="1" ht="12.75" r="840" spans="1:18"/>
    <row customHeight="1" ht="12.75" r="841" spans="1:18"/>
    <row customHeight="1" ht="12.75" r="842" spans="1:18"/>
    <row customHeight="1" ht="12.75" r="843" spans="1:18"/>
    <row customHeight="1" ht="12.75" r="844" spans="1:18"/>
    <row customHeight="1" ht="12.75" r="845" spans="1:18"/>
    <row customHeight="1" ht="12.75" r="846" spans="1:18"/>
    <row customHeight="1" ht="12.75" r="847" spans="1:18"/>
    <row customHeight="1" ht="12.75" r="848" spans="1:18"/>
    <row customHeight="1" ht="12.75" r="849" spans="1:18"/>
    <row customHeight="1" ht="12.75" r="850" spans="1:18"/>
    <row customHeight="1" ht="12.75" r="851" spans="1:18"/>
    <row customHeight="1" ht="12.75" r="852" spans="1:18"/>
    <row customHeight="1" ht="12.75" r="853" spans="1:18"/>
    <row customHeight="1" ht="12.75" r="854" spans="1:18"/>
    <row customHeight="1" ht="12.75" r="855" spans="1:18"/>
    <row customHeight="1" ht="12.75" r="856" spans="1:18"/>
    <row customHeight="1" ht="12.75" r="857" spans="1:18"/>
    <row customHeight="1" ht="12.75" r="858" spans="1:18"/>
    <row customHeight="1" ht="12.75" r="859" spans="1:18"/>
    <row customHeight="1" ht="12.75" r="860" spans="1:18"/>
    <row customHeight="1" ht="12.75" r="861" spans="1:18"/>
    <row customHeight="1" ht="12.75" r="862" spans="1:18"/>
    <row customHeight="1" ht="12.75" r="863" spans="1:18"/>
    <row customHeight="1" ht="12.75" r="864" spans="1:18"/>
    <row customHeight="1" ht="12.75" r="865" spans="1:18"/>
    <row customHeight="1" ht="12.75" r="866" spans="1:18"/>
    <row customHeight="1" ht="12.75" r="867" spans="1:18"/>
    <row customHeight="1" ht="12.75" r="868" spans="1:18"/>
    <row customHeight="1" ht="12.75" r="869" spans="1:18"/>
    <row customHeight="1" ht="12.75" r="870" spans="1:18"/>
    <row customHeight="1" ht="12.75" r="871" spans="1:18"/>
    <row customHeight="1" ht="12.75" r="872" spans="1:18"/>
    <row customHeight="1" ht="12.75" r="873" spans="1:18"/>
    <row customHeight="1" ht="12.75" r="874" spans="1:18"/>
    <row customHeight="1" ht="12.75" r="875" spans="1:18"/>
    <row customHeight="1" ht="12.75" r="876" spans="1:18"/>
    <row customHeight="1" ht="12.75" r="877" spans="1:18"/>
    <row customHeight="1" ht="12.75" r="878" spans="1:18"/>
    <row customHeight="1" ht="12.75" r="879" spans="1:18"/>
    <row customHeight="1" ht="12.75" r="880" spans="1:18"/>
    <row customHeight="1" ht="12.75" r="881" spans="1:18"/>
    <row customHeight="1" ht="12.75" r="882" spans="1:18"/>
    <row customHeight="1" ht="12.75" r="883" spans="1:18"/>
    <row customHeight="1" ht="12.75" r="884" spans="1:18"/>
    <row customHeight="1" ht="12.75" r="885" spans="1:18"/>
    <row customHeight="1" ht="12.75" r="886" spans="1:18"/>
    <row customHeight="1" ht="12.75" r="887" spans="1:18"/>
    <row customHeight="1" ht="12.75" r="888" spans="1:18"/>
    <row customHeight="1" ht="12.75" r="889" spans="1:18"/>
    <row customHeight="1" ht="12.75" r="890" spans="1:18"/>
    <row customHeight="1" ht="12.75" r="891" spans="1:18"/>
    <row customHeight="1" ht="12.75" r="892" spans="1:18"/>
    <row customHeight="1" ht="12.75" r="893" spans="1:18"/>
    <row customHeight="1" ht="12.75" r="894" spans="1:18"/>
    <row customHeight="1" ht="12.75" r="895" spans="1:18"/>
    <row customHeight="1" ht="12.75" r="896" spans="1:18"/>
    <row customHeight="1" ht="12.75" r="897" spans="1:18"/>
    <row customHeight="1" ht="12.75" r="898" spans="1:18"/>
    <row customHeight="1" ht="12.75" r="899" spans="1:18"/>
    <row customHeight="1" ht="12.75" r="900" spans="1:18"/>
    <row customHeight="1" ht="12.75" r="901" spans="1:18"/>
    <row customHeight="1" ht="12.75" r="902" spans="1:18"/>
    <row customHeight="1" ht="12.75" r="903" spans="1:18"/>
    <row customHeight="1" ht="12.75" r="904" spans="1:18"/>
    <row customHeight="1" ht="12.75" r="905" spans="1:18"/>
    <row customHeight="1" ht="12.75" r="906" spans="1:18"/>
    <row customHeight="1" ht="12.75" r="907" spans="1:18"/>
    <row customHeight="1" ht="12.75" r="908" spans="1:18"/>
    <row customHeight="1" ht="12.75" r="909" spans="1:18"/>
    <row customHeight="1" ht="12.75" r="910" spans="1:18"/>
    <row customHeight="1" ht="12.75" r="911" spans="1:18"/>
    <row customHeight="1" ht="12.75" r="912" spans="1:18"/>
    <row customHeight="1" ht="12.75" r="913" spans="1:18"/>
    <row customHeight="1" ht="12.75" r="914" spans="1:18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299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997" l="56" r="56" t="56" vertical="0"/>
        <pm:footer xmlns:pm="smNativeData" b="56" borderId="0" fillId="0" id="1542562997" l="56" r="56" t="56" vertical="2"/>
        <pm:paperBin xmlns:pm="smNativeData" Id="0" id="1542562997" type="0" value="0"/>
        <pm:paperBin xmlns:pm="smNativeData" Id="1" id="1542562997" type="0" value="0"/>
      </ext>
    </extLst>
  </headerFooter>
  <drawing r:id="rId1"/>
  <extLst>
    <ext uri="smNativeData">
      <pm:sheetPrefs xmlns:pm="smNativeData" day="154256299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E92"/>
  <sheetViews>
    <sheetView view="normal" workbookViewId="0">
      <selection activeCell="A2" sqref="A2"/>
    </sheetView>
  </sheetViews>
  <sheetFormatPr defaultRowHeight="15.40"/>
  <cols>
    <col min="3" max="3" customWidth="true" width="40.0" collapsed="false"/>
    <col min="4" max="4" customWidth="true" width="123.142857" collapsed="false"/>
  </cols>
  <sheetData>
    <row r="1" spans="1:4">
      <c r="A1" s="393" t="s">
        <v>111</v>
      </c>
      <c r="B1" s="393" t="s">
        <v>35</v>
      </c>
      <c r="C1" s="393" t="s">
        <v>33</v>
      </c>
      <c r="D1" s="393" t="s">
        <v>112</v>
      </c>
    </row>
    <row r="2" spans="1:4">
      <c r="A2" s="412" t="s">
        <v>113</v>
      </c>
      <c r="B2" s="412" t="s">
        <v>114</v>
      </c>
      <c r="C2" s="412" t="s">
        <v>115</v>
      </c>
      <c r="D2" s="413" t="s">
        <v>116</v>
      </c>
    </row>
    <row r="3" spans="1:4">
      <c r="A3" s="412" t="s">
        <v>113</v>
      </c>
      <c r="B3" s="412" t="s">
        <v>114</v>
      </c>
      <c r="C3" s="412" t="s">
        <v>117</v>
      </c>
      <c r="D3" s="413" t="s">
        <v>118</v>
      </c>
    </row>
    <row r="4" spans="1:4">
      <c r="A4" s="412" t="s">
        <v>113</v>
      </c>
      <c r="B4" s="412" t="s">
        <v>114</v>
      </c>
      <c r="C4" s="412" t="s">
        <v>119</v>
      </c>
      <c r="D4" s="413" t="s">
        <v>120</v>
      </c>
    </row>
    <row r="5" spans="1:4">
      <c r="A5" s="412" t="s">
        <v>113</v>
      </c>
      <c r="B5" s="412" t="s">
        <v>114</v>
      </c>
      <c r="C5" s="412" t="s">
        <v>121</v>
      </c>
      <c r="D5" s="413" t="s">
        <v>122</v>
      </c>
    </row>
    <row r="6" spans="1:4">
      <c r="A6" s="412" t="s">
        <v>113</v>
      </c>
      <c r="B6" s="412" t="s">
        <v>123</v>
      </c>
      <c r="C6" s="412" t="s">
        <v>60</v>
      </c>
      <c r="D6" s="413" t="s">
        <v>124</v>
      </c>
    </row>
    <row r="7" spans="1:4">
      <c r="A7" s="412" t="s">
        <v>113</v>
      </c>
      <c r="B7" s="412" t="s">
        <v>123</v>
      </c>
      <c r="C7" s="412" t="s">
        <v>125</v>
      </c>
      <c r="D7" s="413" t="s">
        <v>126</v>
      </c>
    </row>
    <row r="8" spans="1:4">
      <c r="A8" s="412" t="s">
        <v>113</v>
      </c>
      <c r="B8" s="412" t="s">
        <v>123</v>
      </c>
      <c r="C8" s="412" t="s">
        <v>127</v>
      </c>
      <c r="D8" s="413" t="s">
        <v>128</v>
      </c>
    </row>
    <row r="9" spans="1:4">
      <c r="A9" s="412" t="s">
        <v>113</v>
      </c>
      <c r="B9" s="412" t="s">
        <v>123</v>
      </c>
      <c r="C9" s="412" t="s">
        <v>129</v>
      </c>
      <c r="D9" s="413" t="s">
        <v>130</v>
      </c>
    </row>
    <row r="10" spans="1:4">
      <c r="A10" s="412" t="s">
        <v>113</v>
      </c>
      <c r="B10" s="412" t="s">
        <v>123</v>
      </c>
      <c r="C10" s="412" t="s">
        <v>131</v>
      </c>
      <c r="D10" s="413" t="s">
        <v>132</v>
      </c>
    </row>
    <row r="11" spans="1:4">
      <c r="A11" s="412" t="s">
        <v>113</v>
      </c>
      <c r="B11" s="412" t="s">
        <v>133</v>
      </c>
      <c r="C11" s="412" t="s">
        <v>64</v>
      </c>
      <c r="D11" s="413" t="s">
        <v>134</v>
      </c>
    </row>
    <row r="12" spans="1:4">
      <c r="A12" s="412" t="s">
        <v>113</v>
      </c>
      <c r="B12" s="412" t="s">
        <v>133</v>
      </c>
      <c r="C12" s="412" t="s">
        <v>135</v>
      </c>
      <c r="D12" s="413" t="s">
        <v>136</v>
      </c>
    </row>
    <row r="13" spans="1:4">
      <c r="A13" s="412" t="s">
        <v>113</v>
      </c>
      <c r="B13" s="412" t="s">
        <v>133</v>
      </c>
      <c r="C13" s="412" t="s">
        <v>137</v>
      </c>
      <c r="D13" s="413" t="s">
        <v>138</v>
      </c>
    </row>
    <row r="14" spans="1:4">
      <c r="A14" s="412" t="s">
        <v>113</v>
      </c>
      <c r="B14" s="412" t="s">
        <v>133</v>
      </c>
      <c r="C14" s="412" t="s">
        <v>139</v>
      </c>
      <c r="D14" s="413" t="s">
        <v>140</v>
      </c>
    </row>
    <row r="15" spans="1:4">
      <c r="A15" s="412" t="s">
        <v>113</v>
      </c>
      <c r="B15" s="412" t="s">
        <v>133</v>
      </c>
      <c r="C15" s="412" t="s">
        <v>141</v>
      </c>
      <c r="D15" s="413" t="s">
        <v>142</v>
      </c>
    </row>
    <row r="16" spans="1:4">
      <c r="A16" s="412" t="s">
        <v>113</v>
      </c>
      <c r="B16" s="412" t="s">
        <v>133</v>
      </c>
      <c r="C16" s="412" t="s">
        <v>143</v>
      </c>
      <c r="D16" s="413" t="s">
        <v>144</v>
      </c>
    </row>
    <row r="17" spans="1:4">
      <c r="A17" s="412" t="s">
        <v>113</v>
      </c>
      <c r="B17" s="412" t="s">
        <v>145</v>
      </c>
      <c r="C17" s="412" t="s">
        <v>146</v>
      </c>
      <c r="D17" s="413" t="s">
        <v>147</v>
      </c>
    </row>
    <row r="18" spans="1:4">
      <c r="A18" s="412" t="s">
        <v>113</v>
      </c>
      <c r="B18" s="412" t="s">
        <v>145</v>
      </c>
      <c r="C18" s="412" t="s">
        <v>148</v>
      </c>
      <c r="D18" s="413" t="s">
        <v>149</v>
      </c>
    </row>
    <row r="19" spans="1:4">
      <c r="A19" s="412" t="s">
        <v>113</v>
      </c>
      <c r="B19" s="412" t="s">
        <v>145</v>
      </c>
      <c r="C19" s="412" t="s">
        <v>150</v>
      </c>
      <c r="D19" s="413" t="s">
        <v>151</v>
      </c>
    </row>
    <row r="20" spans="1:4">
      <c r="A20" s="412" t="s">
        <v>113</v>
      </c>
      <c r="B20" s="412" t="s">
        <v>145</v>
      </c>
      <c r="C20" s="412" t="s">
        <v>152</v>
      </c>
      <c r="D20" s="413" t="s">
        <v>153</v>
      </c>
    </row>
    <row r="21" spans="1:4">
      <c r="A21" s="412" t="s">
        <v>113</v>
      </c>
      <c r="B21" s="412" t="s">
        <v>154</v>
      </c>
      <c r="C21" s="412" t="s">
        <v>155</v>
      </c>
      <c r="D21" s="413" t="s">
        <v>156</v>
      </c>
    </row>
    <row r="22" spans="1:4">
      <c r="A22" s="412" t="s">
        <v>113</v>
      </c>
      <c r="B22" s="412" t="s">
        <v>154</v>
      </c>
      <c r="C22" s="412" t="s">
        <v>157</v>
      </c>
      <c r="D22" s="413" t="s">
        <v>158</v>
      </c>
    </row>
    <row r="23" spans="1:4">
      <c r="A23" s="412" t="s">
        <v>113</v>
      </c>
      <c r="B23" s="412" t="s">
        <v>154</v>
      </c>
      <c r="C23" s="412" t="s">
        <v>159</v>
      </c>
      <c r="D23" s="413" t="s">
        <v>160</v>
      </c>
    </row>
    <row r="24" spans="1:4">
      <c r="A24" s="412" t="s">
        <v>113</v>
      </c>
      <c r="B24" s="412" t="s">
        <v>154</v>
      </c>
      <c r="C24" s="412" t="s">
        <v>161</v>
      </c>
      <c r="D24" s="413" t="s">
        <v>162</v>
      </c>
    </row>
    <row r="25" spans="1:4">
      <c r="A25" s="412" t="s">
        <v>113</v>
      </c>
      <c r="B25" s="412" t="s">
        <v>163</v>
      </c>
      <c r="C25" s="412" t="s">
        <v>164</v>
      </c>
      <c r="D25" s="413" t="s">
        <v>165</v>
      </c>
    </row>
    <row r="26" spans="1:4">
      <c r="A26" s="412" t="s">
        <v>113</v>
      </c>
      <c r="B26" s="412" t="s">
        <v>163</v>
      </c>
      <c r="C26" s="412" t="s">
        <v>166</v>
      </c>
      <c r="D26" s="413" t="s">
        <v>167</v>
      </c>
    </row>
    <row r="27" spans="1:4">
      <c r="A27" s="412" t="s">
        <v>113</v>
      </c>
      <c r="B27" s="412" t="s">
        <v>163</v>
      </c>
      <c r="C27" s="412" t="s">
        <v>168</v>
      </c>
      <c r="D27" s="413" t="s">
        <v>169</v>
      </c>
    </row>
    <row r="28" spans="1:4">
      <c r="A28" s="412" t="s">
        <v>113</v>
      </c>
      <c r="B28" s="412" t="s">
        <v>163</v>
      </c>
      <c r="C28" s="412" t="s">
        <v>170</v>
      </c>
      <c r="D28" s="413" t="s">
        <v>171</v>
      </c>
    </row>
    <row r="29" spans="1:4">
      <c r="A29" s="412" t="s">
        <v>113</v>
      </c>
      <c r="B29" s="412" t="s">
        <v>49</v>
      </c>
      <c r="C29" s="412" t="s">
        <v>67</v>
      </c>
      <c r="D29" s="413" t="s">
        <v>172</v>
      </c>
    </row>
    <row r="30" spans="1:4">
      <c r="A30" s="412" t="s">
        <v>113</v>
      </c>
      <c r="B30" s="412" t="s">
        <v>49</v>
      </c>
      <c r="C30" s="412" t="s">
        <v>173</v>
      </c>
      <c r="D30" s="413" t="s">
        <v>174</v>
      </c>
    </row>
    <row r="31" spans="1:4">
      <c r="A31" s="412" t="s">
        <v>113</v>
      </c>
      <c r="B31" s="412" t="s">
        <v>49</v>
      </c>
      <c r="C31" s="412" t="s">
        <v>70</v>
      </c>
      <c r="D31" s="413" t="s">
        <v>175</v>
      </c>
    </row>
    <row r="32" spans="1:4">
      <c r="A32" s="412" t="s">
        <v>113</v>
      </c>
      <c r="B32" s="412" t="s">
        <v>49</v>
      </c>
      <c r="C32" s="412" t="s">
        <v>82</v>
      </c>
      <c r="D32" s="413" t="s">
        <v>176</v>
      </c>
    </row>
    <row r="33" spans="1:4">
      <c r="A33" s="412" t="s">
        <v>113</v>
      </c>
      <c r="B33" s="412" t="s">
        <v>177</v>
      </c>
      <c r="C33" s="412" t="s">
        <v>178</v>
      </c>
      <c r="D33" s="413" t="s">
        <v>179</v>
      </c>
    </row>
    <row r="34" spans="1:4">
      <c r="A34" s="412" t="s">
        <v>113</v>
      </c>
      <c r="B34" s="412" t="s">
        <v>177</v>
      </c>
      <c r="C34" s="412" t="s">
        <v>180</v>
      </c>
      <c r="D34" s="413" t="s">
        <v>181</v>
      </c>
    </row>
    <row r="35" spans="1:4">
      <c r="A35" s="412" t="s">
        <v>113</v>
      </c>
      <c r="B35" s="412" t="s">
        <v>177</v>
      </c>
      <c r="C35" s="412" t="s">
        <v>182</v>
      </c>
      <c r="D35" s="413" t="s">
        <v>183</v>
      </c>
    </row>
    <row r="36" spans="1:4">
      <c r="A36" s="412" t="s">
        <v>113</v>
      </c>
      <c r="B36" s="412" t="s">
        <v>177</v>
      </c>
      <c r="C36" s="412" t="s">
        <v>184</v>
      </c>
      <c r="D36" s="413" t="s">
        <v>185</v>
      </c>
    </row>
    <row r="37" spans="1:4">
      <c r="A37" s="412" t="s">
        <v>113</v>
      </c>
      <c r="B37" s="412" t="s">
        <v>177</v>
      </c>
      <c r="C37" s="412" t="s">
        <v>186</v>
      </c>
      <c r="D37" s="413" t="s">
        <v>187</v>
      </c>
    </row>
    <row r="38" spans="1:4">
      <c r="A38" s="412" t="s">
        <v>113</v>
      </c>
      <c r="B38" s="412" t="s">
        <v>177</v>
      </c>
      <c r="C38" s="412" t="s">
        <v>188</v>
      </c>
      <c r="D38" s="413" t="s">
        <v>189</v>
      </c>
    </row>
    <row r="39" spans="1:4">
      <c r="A39" s="412" t="s">
        <v>113</v>
      </c>
      <c r="B39" s="412" t="s">
        <v>177</v>
      </c>
      <c r="C39" s="412" t="s">
        <v>190</v>
      </c>
      <c r="D39" s="413" t="s">
        <v>191</v>
      </c>
    </row>
    <row r="40" spans="1:4">
      <c r="A40" s="412" t="s">
        <v>113</v>
      </c>
      <c r="B40" s="412" t="s">
        <v>177</v>
      </c>
      <c r="C40" s="412" t="s">
        <v>192</v>
      </c>
      <c r="D40" s="413" t="s">
        <v>193</v>
      </c>
    </row>
    <row r="41" spans="1:4">
      <c r="A41" s="412" t="s">
        <v>113</v>
      </c>
      <c r="B41" s="412" t="s">
        <v>177</v>
      </c>
      <c r="C41" s="412" t="s">
        <v>194</v>
      </c>
      <c r="D41" s="413" t="s">
        <v>195</v>
      </c>
    </row>
    <row r="42" spans="1:4">
      <c r="A42" s="412" t="s">
        <v>113</v>
      </c>
      <c r="B42" s="412" t="s">
        <v>177</v>
      </c>
      <c r="C42" s="412" t="s">
        <v>196</v>
      </c>
      <c r="D42" s="413" t="s">
        <v>197</v>
      </c>
    </row>
    <row r="43" spans="1:4">
      <c r="A43" s="412" t="s">
        <v>113</v>
      </c>
      <c r="B43" s="412" t="s">
        <v>177</v>
      </c>
      <c r="C43" s="412" t="s">
        <v>198</v>
      </c>
      <c r="D43" s="413" t="s">
        <v>199</v>
      </c>
    </row>
    <row r="44" spans="1:4">
      <c r="A44" s="412" t="s">
        <v>113</v>
      </c>
      <c r="B44" s="412" t="s">
        <v>177</v>
      </c>
      <c r="C44" s="412" t="s">
        <v>200</v>
      </c>
      <c r="D44" s="413" t="s">
        <v>201</v>
      </c>
    </row>
    <row r="45" spans="1:4">
      <c r="A45" s="412" t="s">
        <v>113</v>
      </c>
      <c r="B45" s="412" t="s">
        <v>177</v>
      </c>
      <c r="C45" s="412" t="s">
        <v>202</v>
      </c>
      <c r="D45" s="413" t="s">
        <v>203</v>
      </c>
    </row>
    <row r="46" spans="1:4">
      <c r="A46" s="412" t="s">
        <v>113</v>
      </c>
      <c r="B46" s="412" t="s">
        <v>204</v>
      </c>
      <c r="C46" s="412" t="s">
        <v>205</v>
      </c>
      <c r="D46" s="413" t="s">
        <v>206</v>
      </c>
    </row>
    <row r="47" spans="1:4">
      <c r="A47" s="412" t="s">
        <v>113</v>
      </c>
      <c r="B47" s="412" t="s">
        <v>207</v>
      </c>
      <c r="C47" s="412" t="s">
        <v>208</v>
      </c>
      <c r="D47" s="413" t="s">
        <v>209</v>
      </c>
    </row>
    <row r="48" spans="1:4">
      <c r="A48" s="412" t="s">
        <v>113</v>
      </c>
      <c r="B48" s="412" t="s">
        <v>207</v>
      </c>
      <c r="C48" s="412" t="s">
        <v>210</v>
      </c>
      <c r="D48" s="413" t="s">
        <v>211</v>
      </c>
    </row>
    <row r="49" spans="1:4">
      <c r="A49" s="412" t="s">
        <v>113</v>
      </c>
      <c r="B49" s="412" t="s">
        <v>207</v>
      </c>
      <c r="C49" s="412" t="s">
        <v>212</v>
      </c>
      <c r="D49" s="413" t="s">
        <v>213</v>
      </c>
    </row>
    <row r="50" spans="1:4">
      <c r="A50" s="412" t="s">
        <v>113</v>
      </c>
      <c r="B50" s="412" t="s">
        <v>207</v>
      </c>
      <c r="C50" s="412" t="s">
        <v>214</v>
      </c>
      <c r="D50" s="413" t="s">
        <v>215</v>
      </c>
    </row>
    <row r="51" spans="1:4">
      <c r="A51" s="412" t="s">
        <v>113</v>
      </c>
      <c r="B51" s="412" t="s">
        <v>207</v>
      </c>
      <c r="C51" s="412" t="s">
        <v>216</v>
      </c>
      <c r="D51" s="413" t="s">
        <v>217</v>
      </c>
    </row>
    <row r="52" spans="1:4">
      <c r="A52" s="412" t="s">
        <v>113</v>
      </c>
      <c r="B52" s="412" t="s">
        <v>207</v>
      </c>
      <c r="C52" s="412" t="s">
        <v>218</v>
      </c>
      <c r="D52" s="413" t="s">
        <v>219</v>
      </c>
    </row>
    <row r="53" spans="1:4">
      <c r="A53" s="412" t="s">
        <v>113</v>
      </c>
      <c r="B53" s="412" t="s">
        <v>207</v>
      </c>
      <c r="C53" s="412" t="s">
        <v>220</v>
      </c>
      <c r="D53" s="413" t="s">
        <v>221</v>
      </c>
    </row>
    <row r="54" spans="1:4">
      <c r="A54" s="412" t="s">
        <v>113</v>
      </c>
      <c r="B54" s="412" t="s">
        <v>207</v>
      </c>
      <c r="C54" s="412" t="s">
        <v>222</v>
      </c>
      <c r="D54" s="413" t="s">
        <v>223</v>
      </c>
    </row>
    <row r="55" spans="1:4">
      <c r="A55" s="412" t="s">
        <v>113</v>
      </c>
      <c r="B55" s="412" t="s">
        <v>207</v>
      </c>
      <c r="C55" s="412" t="s">
        <v>224</v>
      </c>
      <c r="D55" s="413" t="s">
        <v>225</v>
      </c>
    </row>
    <row r="56" spans="1:4">
      <c r="A56" s="412" t="s">
        <v>113</v>
      </c>
      <c r="B56" s="412" t="s">
        <v>207</v>
      </c>
      <c r="C56" s="412" t="s">
        <v>226</v>
      </c>
      <c r="D56" s="413" t="s">
        <v>227</v>
      </c>
    </row>
    <row r="57" spans="1:4">
      <c r="A57" s="412" t="s">
        <v>113</v>
      </c>
      <c r="B57" s="412" t="s">
        <v>207</v>
      </c>
      <c r="C57" s="412" t="s">
        <v>228</v>
      </c>
      <c r="D57" s="413" t="s">
        <v>229</v>
      </c>
    </row>
    <row r="58" spans="1:4">
      <c r="A58" s="412" t="s">
        <v>113</v>
      </c>
      <c r="B58" s="412" t="s">
        <v>230</v>
      </c>
      <c r="C58" s="412" t="s">
        <v>231</v>
      </c>
      <c r="D58" s="413" t="s">
        <v>232</v>
      </c>
    </row>
    <row r="59" spans="1:4">
      <c r="A59" s="412" t="s">
        <v>113</v>
      </c>
      <c r="B59" s="412" t="s">
        <v>230</v>
      </c>
      <c r="C59" s="412" t="s">
        <v>233</v>
      </c>
      <c r="D59" s="413" t="s">
        <v>234</v>
      </c>
    </row>
    <row r="60" spans="1:4">
      <c r="A60" s="412" t="s">
        <v>113</v>
      </c>
      <c r="B60" s="412" t="s">
        <v>230</v>
      </c>
      <c r="C60" s="412" t="s">
        <v>235</v>
      </c>
      <c r="D60" s="413" t="s">
        <v>236</v>
      </c>
    </row>
    <row r="61" spans="1:4">
      <c r="A61" s="412" t="s">
        <v>113</v>
      </c>
      <c r="B61" s="412" t="s">
        <v>237</v>
      </c>
      <c r="C61" s="412" t="s">
        <v>238</v>
      </c>
      <c r="D61" s="413" t="s">
        <v>239</v>
      </c>
    </row>
    <row r="62" spans="1:4">
      <c r="A62" s="412" t="s">
        <v>113</v>
      </c>
      <c r="B62" s="412" t="s">
        <v>237</v>
      </c>
      <c r="C62" s="412" t="s">
        <v>240</v>
      </c>
      <c r="D62" s="413" t="s">
        <v>241</v>
      </c>
    </row>
    <row r="63" spans="1:4">
      <c r="A63" s="412" t="s">
        <v>113</v>
      </c>
      <c r="B63" s="412" t="s">
        <v>242</v>
      </c>
      <c r="C63" s="412" t="s">
        <v>243</v>
      </c>
      <c r="D63" s="413" t="s">
        <v>244</v>
      </c>
    </row>
    <row r="64" spans="1:4">
      <c r="A64" s="412" t="s">
        <v>113</v>
      </c>
      <c r="B64" s="412" t="s">
        <v>242</v>
      </c>
      <c r="C64" s="412" t="s">
        <v>245</v>
      </c>
      <c r="D64" s="413" t="s">
        <v>246</v>
      </c>
    </row>
    <row r="65" spans="1:4">
      <c r="A65" s="412" t="s">
        <v>113</v>
      </c>
      <c r="B65" s="412" t="s">
        <v>242</v>
      </c>
      <c r="C65" s="412" t="s">
        <v>247</v>
      </c>
      <c r="D65" s="413" t="s">
        <v>248</v>
      </c>
    </row>
    <row r="66" spans="1:4">
      <c r="A66" s="412" t="s">
        <v>113</v>
      </c>
      <c r="B66" s="412" t="s">
        <v>249</v>
      </c>
      <c r="C66" s="412" t="s">
        <v>250</v>
      </c>
      <c r="D66" s="413" t="s">
        <v>251</v>
      </c>
    </row>
    <row r="67" spans="1:4">
      <c r="A67" s="412" t="s">
        <v>113</v>
      </c>
      <c r="B67" s="412" t="s">
        <v>249</v>
      </c>
      <c r="C67" s="412" t="s">
        <v>252</v>
      </c>
      <c r="D67" s="413" t="s">
        <v>253</v>
      </c>
    </row>
    <row r="68" spans="1:4">
      <c r="A68" s="412" t="s">
        <v>113</v>
      </c>
      <c r="B68" s="412" t="s">
        <v>249</v>
      </c>
      <c r="C68" s="412" t="s">
        <v>254</v>
      </c>
      <c r="D68" s="413" t="s">
        <v>255</v>
      </c>
    </row>
    <row r="69" spans="1:4">
      <c r="A69" s="412" t="s">
        <v>113</v>
      </c>
      <c r="B69" s="412" t="s">
        <v>249</v>
      </c>
      <c r="C69" s="412" t="s">
        <v>256</v>
      </c>
      <c r="D69" s="413" t="s">
        <v>257</v>
      </c>
    </row>
    <row r="70" spans="1:4">
      <c r="A70" s="412" t="s">
        <v>113</v>
      </c>
      <c r="B70" s="412" t="s">
        <v>258</v>
      </c>
      <c r="C70" s="412" t="s">
        <v>259</v>
      </c>
      <c r="D70" s="413" t="s">
        <v>260</v>
      </c>
    </row>
    <row r="71" spans="1:4">
      <c r="A71" s="412" t="s">
        <v>113</v>
      </c>
      <c r="B71" s="412" t="s">
        <v>261</v>
      </c>
      <c r="C71" s="412" t="s">
        <v>262</v>
      </c>
      <c r="D71" s="413" t="s">
        <v>263</v>
      </c>
    </row>
    <row r="72" spans="1:4">
      <c r="A72" s="412" t="s">
        <v>113</v>
      </c>
      <c r="B72" s="412" t="s">
        <v>261</v>
      </c>
      <c r="C72" s="412" t="s">
        <v>264</v>
      </c>
      <c r="D72" s="413" t="s">
        <v>265</v>
      </c>
    </row>
    <row r="73" spans="1:4">
      <c r="A73" s="412" t="s">
        <v>113</v>
      </c>
      <c r="B73" s="412" t="s">
        <v>266</v>
      </c>
      <c r="C73" s="412" t="s">
        <v>267</v>
      </c>
      <c r="D73" s="413" t="s">
        <v>268</v>
      </c>
    </row>
    <row r="74" spans="1:4">
      <c r="A74" s="412" t="s">
        <v>113</v>
      </c>
      <c r="B74" s="412" t="s">
        <v>266</v>
      </c>
      <c r="C74" s="412" t="s">
        <v>269</v>
      </c>
      <c r="D74" s="413" t="s">
        <v>270</v>
      </c>
    </row>
    <row r="75" spans="1:4">
      <c r="A75" s="412" t="s">
        <v>113</v>
      </c>
      <c r="B75" s="412" t="s">
        <v>266</v>
      </c>
      <c r="C75" s="412" t="s">
        <v>271</v>
      </c>
      <c r="D75" s="413" t="s">
        <v>272</v>
      </c>
    </row>
    <row r="76" spans="1:4">
      <c r="A76" s="412" t="s">
        <v>273</v>
      </c>
      <c r="B76" s="412" t="s">
        <v>274</v>
      </c>
      <c r="C76" s="412" t="s">
        <v>75</v>
      </c>
      <c r="D76" s="413" t="s">
        <v>275</v>
      </c>
    </row>
    <row r="77" spans="1:4">
      <c r="A77" s="412" t="s">
        <v>276</v>
      </c>
      <c r="B77" s="412" t="s">
        <v>277</v>
      </c>
      <c r="C77" s="412" t="s">
        <v>278</v>
      </c>
      <c r="D77" s="413" t="s">
        <v>279</v>
      </c>
    </row>
    <row r="78" spans="1:4">
      <c r="A78" s="412" t="s">
        <v>276</v>
      </c>
      <c r="B78" s="412" t="s">
        <v>277</v>
      </c>
      <c r="C78" s="412" t="s">
        <v>280</v>
      </c>
      <c r="D78" s="413" t="s">
        <v>281</v>
      </c>
    </row>
    <row r="79" spans="1:4">
      <c r="A79" s="412" t="s">
        <v>276</v>
      </c>
      <c r="B79" s="412" t="s">
        <v>277</v>
      </c>
      <c r="C79" s="412" t="s">
        <v>282</v>
      </c>
      <c r="D79" s="413" t="s">
        <v>283</v>
      </c>
    </row>
    <row r="80" spans="1:4">
      <c r="A80" s="412" t="s">
        <v>276</v>
      </c>
      <c r="B80" s="412" t="s">
        <v>277</v>
      </c>
      <c r="C80" s="412" t="s">
        <v>284</v>
      </c>
      <c r="D80" s="413" t="s">
        <v>285</v>
      </c>
    </row>
    <row r="81" spans="1:4">
      <c r="A81" s="412" t="s">
        <v>276</v>
      </c>
      <c r="B81" s="412" t="s">
        <v>277</v>
      </c>
      <c r="C81" s="412" t="s">
        <v>286</v>
      </c>
      <c r="D81" s="413" t="s">
        <v>287</v>
      </c>
    </row>
    <row r="82" spans="1:4">
      <c r="A82" s="412" t="s">
        <v>288</v>
      </c>
      <c r="B82" s="412" t="s">
        <v>289</v>
      </c>
      <c r="C82" s="412" t="s">
        <v>290</v>
      </c>
      <c r="D82" s="413" t="s">
        <v>291</v>
      </c>
    </row>
    <row r="83" spans="1:4">
      <c r="A83" s="412" t="s">
        <v>288</v>
      </c>
      <c r="B83" s="412" t="s">
        <v>289</v>
      </c>
      <c r="C83" s="412" t="s">
        <v>292</v>
      </c>
      <c r="D83" s="413" t="s">
        <v>293</v>
      </c>
    </row>
    <row r="84" spans="1:4">
      <c r="A84" s="412" t="s">
        <v>288</v>
      </c>
      <c r="B84" s="412" t="s">
        <v>289</v>
      </c>
      <c r="C84" s="412" t="s">
        <v>294</v>
      </c>
      <c r="D84" s="413" t="s">
        <v>295</v>
      </c>
    </row>
    <row r="85" spans="1:4">
      <c r="A85" s="412" t="s">
        <v>288</v>
      </c>
      <c r="B85" s="412" t="s">
        <v>296</v>
      </c>
      <c r="C85" s="412" t="s">
        <v>297</v>
      </c>
      <c r="D85" s="413" t="s">
        <v>298</v>
      </c>
    </row>
    <row r="86" spans="1:4">
      <c r="A86" s="412" t="s">
        <v>288</v>
      </c>
      <c r="B86" s="412" t="s">
        <v>296</v>
      </c>
      <c r="C86" s="412" t="s">
        <v>299</v>
      </c>
      <c r="D86" s="413" t="s">
        <v>300</v>
      </c>
    </row>
    <row r="87" spans="1:4">
      <c r="A87" s="412" t="s">
        <v>288</v>
      </c>
      <c r="B87" s="412" t="s">
        <v>296</v>
      </c>
      <c r="C87" s="412" t="s">
        <v>301</v>
      </c>
      <c r="D87" s="413" t="s">
        <v>302</v>
      </c>
    </row>
    <row r="88" spans="1:4">
      <c r="A88" s="412" t="s">
        <v>303</v>
      </c>
      <c r="B88" s="412" t="s">
        <v>304</v>
      </c>
      <c r="C88" s="412" t="s">
        <v>55</v>
      </c>
      <c r="D88" s="413" t="s">
        <v>305</v>
      </c>
    </row>
    <row r="89" spans="1:4">
      <c r="A89" s="412" t="s">
        <v>303</v>
      </c>
      <c r="B89" s="412" t="s">
        <v>306</v>
      </c>
      <c r="C89" s="412" t="s">
        <v>307</v>
      </c>
      <c r="D89" s="413" t="s">
        <v>308</v>
      </c>
    </row>
    <row r="90" spans="1:4">
      <c r="A90" s="412" t="s">
        <v>309</v>
      </c>
      <c r="B90" s="412" t="s">
        <v>310</v>
      </c>
      <c r="C90" s="412" t="s">
        <v>311</v>
      </c>
      <c r="D90" s="413" t="s">
        <v>312</v>
      </c>
    </row>
    <row r="91" spans="1:4">
      <c r="A91" s="412" t="s">
        <v>309</v>
      </c>
      <c r="B91" s="412" t="s">
        <v>310</v>
      </c>
      <c r="C91" s="412" t="s">
        <v>313</v>
      </c>
      <c r="D91" s="413" t="s">
        <v>314</v>
      </c>
    </row>
    <row r="92" spans="1:4">
      <c r="A92" s="412" t="s">
        <v>309</v>
      </c>
      <c r="B92" s="412" t="s">
        <v>310</v>
      </c>
      <c r="C92" s="412" t="s">
        <v>315</v>
      </c>
      <c r="D92" s="413" t="s">
        <v>316</v>
      </c>
    </row>
  </sheetData>
  <printOptions>
    <extLst>
      <ext uri="smNativeData">
        <pm:pageFlags xmlns:pm="smNativeData" autoHeightFooter="0" autoHeightHeader="0" fitToPageBoth="0" id="154256299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geOrder="overThenDown" paperSize="1"/>
  <headerFooter>
    <extLst>
      <ext uri="smNativeData">
        <pm:header xmlns:pm="smNativeData" b="56" borderId="0" fillId="0" id="1542562997" l="56" r="56" t="56" vertical="0"/>
        <pm:footer xmlns:pm="smNativeData" b="56" borderId="0" fillId="0" id="1542562997" l="56" r="56" t="56" vertical="2"/>
        <pm:paperBin xmlns:pm="smNativeData" Id="0" id="1542562997" type="0" value="0"/>
        <pm:paperBin xmlns:pm="smNativeData" Id="1" id="1542562997" type="0" value="0"/>
      </ext>
    </extLst>
  </headerFooter>
  <extLst>
    <ext uri="smNativeData">
      <pm:sheetPrefs xmlns:pm="smNativeData" day="154256299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dcterms:modified xsi:type="dcterms:W3CDTF">2018-11-18T17:43:17Z</dcterms:modified>
  <cp:revision>0</cp:revision>
</cp:coreProperties>
</file>