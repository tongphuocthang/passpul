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TC!$A$1:$Y$23</definedName>
    <definedName hidden="1" localSheetId="4" name="_xlnm._FilterDatabase">Keyword!$A$1:$D$91</definedName>
  </definedNames>
  <calcPr/>
  <extLst>
    <ext uri="smNativeData">
      <pm:revision xmlns:pm="smNativeData" day="1542562567" rev="123" revOS="4" val="938"/>
      <pm:docPrefs xmlns:pm="smNativeData" autoChart="1" compatTextArt="1" finalRounding="1" fixedDigits="0" id="1542562567" printArea="currentSheet" recalcOnCopy="1" recalcOnPrint="1" showFrameBounds="1" showNotice="1" tab="567" useDefinedPrintRange="1"/>
      <pm:compatibility xmlns:pm="smNativeData" id="1542562567" overlapCells="1"/>
      <pm:defCurrency xmlns:pm="smNativeData" id="1542562567"/>
    </ext>
  </extLst>
</workbook>
</file>

<file path=xl/sharedStrings.xml><?xml version="1.0" encoding="utf-8"?>
<sst xmlns="http://schemas.openxmlformats.org/spreadsheetml/2006/main" count="867" uniqueCount="321">
  <si>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</si>
  <si>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</si>
  <si>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</si>
  <si>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</si>
  <si>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</si>
  <si>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</si>
  <si>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</si>
  <si>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</si>
  <si>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</si>
  <si>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</si>
  <si>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</si>
  <si>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</si>
  <si>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</si>
  <si>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</si>
  <si>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</si>
  <si>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</si>
  <si>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</si>
  <si>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</si>
  <si>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</si>
  <si>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</si>
  <si>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</si>
  <si>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</si>
  <si>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</si>
  <si>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</si>
  <si>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</si>
  <si>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</si>
  <si>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</si>
  <si>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</si>
  <si>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</si>
  <si>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</si>
  <si>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</si>
  <si>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</si>
  <si>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</si>
  <si>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</si>
  <si>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</si>
  <si>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</si>
  <si>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</si>
  <si>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</si>
  <si>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</si>
  <si>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</si>
  <si>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</si>
  <si>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</si>
  <si>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</si>
  <si>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</si>
  <si>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</si>
  <si>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</si>
  <si>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</si>
  <si>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</si>
  <si>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</si>
  <si>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</si>
  <si>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</si>
  <si>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</si>
  <si>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</si>
  <si>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</si>
  <si>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</si>
  <si>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</si>
  <si>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</si>
  <si>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</si>
  <si>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</si>
  <si>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</si>
  <si>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</si>
  <si>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</si>
  <si>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</si>
  <si>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</si>
  <si>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</si>
  <si>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</si>
  <si>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</si>
  <si>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</si>
  <si>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</si>
  <si>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</si>
  <si>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</si>
  <si>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</si>
  <si>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</si>
  <si>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</si>
  <si>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</si>
  <si>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</si>
  <si>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</si>
  <si>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</si>
  <si>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</si>
  <si>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</si>
  <si>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</si>
  <si>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</si>
  <si>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</si>
  <si>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</si>
  <si>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</si>
  <si>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</si>
  <si>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</si>
  <si>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</si>
  <si>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</si>
  <si>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</si>
  <si>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</si>
  <si>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</si>
  <si>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</si>
  <si>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</si>
  <si>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</si>
  <si>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</si>
  <si>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</si>
  <si>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</si>
  <si>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</si>
  <si>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</si>
  <si>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</si>
  <si>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</si>
  <si>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</si>
  <si>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</si>
  <si>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</si>
  <si>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</si>
  <si>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</si>
  <si>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</si>
  <si>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</si>
  <si>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</si>
  <si>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</si>
  <si>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</si>
  <si>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</si>
  <si>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</si>
  <si>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</si>
  <si>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</si>
  <si>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</si>
  <si>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</si>
  <si>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</si>
  <si>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</si>
  <si>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</si>
  <si>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</si>
  <si>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</si>
  <si>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</si>
  <si>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</si>
  <si>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</si>
  <si>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</si>
  <si>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</si>
  <si>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</si>
  <si>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</si>
  <si>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</si>
  <si>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</si>
  <si>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</si>
  <si>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</si>
  <si>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</si>
  <si>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</si>
  <si>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</si>
  <si>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</si>
  <si>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</si>
  <si>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</si>
  <si>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</si>
  <si>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</si>
  <si>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</si>
  <si>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</si>
  <si>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</si>
  <si>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</si>
  <si>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</si>
  <si>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</si>
  <si>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</si>
  <si>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</si>
  <si>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</si>
  <si>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</si>
  <si>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</si>
  <si>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</si>
  <si>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</si>
  <si>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</si>
  <si>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</si>
  <si>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</si>
  <si>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</si>
  <si>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</si>
  <si>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</si>
  <si>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</si>
  <si>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</si>
  <si>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</si>
  <si>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</si>
  <si>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</si>
  <si>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</si>
  <si>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</si>
  <si>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</si>
  <si>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</si>
  <si>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</si>
  <si>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</si>
  <si>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</si>
  <si>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</si>
  <si>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</si>
  <si>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</si>
  <si>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</si>
  <si>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</si>
  <si>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</si>
  <si>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</si>
  <si>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</si>
  <si>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</si>
  <si>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</si>
  <si>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</si>
  <si>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</si>
  <si>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</si>
  <si>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</si>
  <si>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</si>
  <si>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</si>
  <si>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</si>
  <si>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</si>
  <si>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</si>
  <si>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</si>
  <si>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</si>
  <si>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</si>
  <si>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</si>
  <si>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</si>
  <si>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</si>
  <si>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</si>
  <si>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</si>
  <si>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</si>
  <si>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</si>
  <si>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</si>
  <si>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</si>
  <si>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</si>
  <si>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</si>
  <si>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</si>
  <si>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</si>
  <si>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</si>
  <si>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</si>
  <si>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</si>
  <si>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</si>
  <si>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</si>
  <si>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</si>
  <si>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</si>
  <si>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</si>
  <si>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</si>
  <si>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</si>
  <si>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</si>
  <si>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</si>
  <si>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</si>
  <si>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</si>
  <si>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</si>
  <si>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</si>
  <si>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</si>
  <si>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</si>
  <si>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</si>
  <si>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</si>
  <si>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</si>
  <si>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</si>
  <si>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</si>
  <si>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</si>
  <si>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</si>
  <si>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</si>
  <si>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</si>
  <si>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</si>
  <si>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</si>
  <si>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</si>
  <si>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</si>
  <si>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</si>
  <si>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</si>
  <si>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</si>
  <si>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</si>
  <si>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</si>
  <si>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</si>
  <si>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</si>
  <si>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</si>
  <si>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</si>
  <si>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</si>
  <si>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</si>
  <si>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</si>
  <si>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</si>
  <si>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</si>
  <si>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</si>
  <si>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</si>
  <si>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</si>
  <si>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</si>
  <si>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</si>
  <si>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</si>
  <si>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</si>
  <si>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</si>
  <si>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</si>
  <si>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</si>
  <si>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</si>
  <si>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</si>
  <si>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</si>
  <si>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</si>
  <si>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</si>
  <si>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</si>
  <si>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</si>
  <si>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</si>
  <si>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</si>
  <si>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</si>
  <si>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</si>
  <si>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</si>
  <si>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</si>
  <si>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</si>
  <si>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</si>
  <si>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</si>
  <si>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</si>
  <si>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</si>
  <si>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</si>
  <si>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</si>
  <si>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</si>
  <si>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</si>
  <si>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</si>
  <si>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</si>
  <si>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</si>
  <si>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</si>
  <si>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</si>
  <si>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</si>
  <si>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</si>
  <si>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</si>
  <si>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</si>
  <si>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</si>
  <si>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</si>
  <si>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</si>
  <si>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</si>
  <si>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</si>
  <si>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</si>
  <si>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</si>
  <si>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</si>
  <si>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</si>
  <si>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</si>
  <si>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</si>
  <si>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</si>
  <si>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</si>
  <si>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</si>
  <si>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</si>
  <si>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</si>
  <si>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</si>
  <si>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</si>
  <si>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</si>
  <si>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</si>
  <si>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</si>
  <si>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</si>
  <si>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</si>
  <si>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</si>
  <si>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14:52:57</t>
  </si>
  <si>
    <t>11/19/2018 14:53:13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</si>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</sst>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6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6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6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6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6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6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6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6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333399"/>
        <bgColor rgb="FFFFFFFF"/>
        <extLst>
          <ext uri="smNativeData">
            <pm:shade xmlns:pm="smNativeData" bgClr="00000000" bgLvl="100" fgClr="00333399" fgLvl="100" id="154256256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6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borderId="0" fillId="0" fontId="0" numFmtId="0" xfId="0">
      <alignment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9" borderId="0" xfId="0" applyFill="true" applyFont="true"/>
    <xf numFmtId="0" fontId="15" fillId="21" borderId="0" xfId="0" applyFill="true" applyFont="true"/>
    <xf numFmtId="0" fontId="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7" fillId="25" borderId="20" xfId="0" applyFill="true" applyFont="true" applyBorder="true"/>
    <xf numFmtId="0" fontId="0" fillId="0" borderId="20" xfId="0" applyBorder="true"/>
    <xf numFmtId="10" fontId="18" fillId="25" borderId="20" xfId="0" applyFill="true" applyFont="true" applyNumberFormat="true" applyBorder="true"/>
    <xf numFmtId="0" fontId="19" fillId="19" borderId="0" xfId="0" applyFill="true" applyFont="true"/>
    <xf numFmtId="0" fontId="20" fillId="21" borderId="0" xfId="0" applyFill="true" applyFont="true"/>
    <xf numFmtId="0" fontId="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2" fillId="25" borderId="20" xfId="0" applyFill="true" applyFont="true" applyBorder="true"/>
    <xf numFmtId="0" fontId="0" fillId="0" borderId="20" xfId="0" applyBorder="true"/>
    <xf numFmtId="10" fontId="23" fillId="25" borderId="20" xfId="0" applyFill="true" applyFont="true" applyNumberFormat="true" applyBorder="true"/>
    <xf numFmtId="0" fontId="24" fillId="19" borderId="0" xfId="0" applyFill="true" applyFont="true"/>
    <xf numFmtId="0" fontId="25" fillId="21" borderId="0" xfId="0" applyFill="true" applyFont="true"/>
    <xf numFmtId="0" fontId="2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7" fillId="25" borderId="20" xfId="0" applyFill="true" applyFont="true" applyBorder="true"/>
    <xf numFmtId="0" fontId="0" fillId="0" borderId="20" xfId="0" applyBorder="true"/>
    <xf numFmtId="10" fontId="28" fillId="25" borderId="20" xfId="0" applyFill="true" applyFont="true" applyNumberFormat="true" applyBorder="true"/>
    <xf numFmtId="0" fontId="29" fillId="19" borderId="0" xfId="0" applyFill="true" applyFont="true"/>
    <xf numFmtId="0" fontId="30" fillId="21" borderId="0" xfId="0" applyFill="true" applyFont="true"/>
    <xf numFmtId="0" fontId="3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2" fillId="25" borderId="20" xfId="0" applyFill="true" applyFont="true" applyBorder="true"/>
    <xf numFmtId="0" fontId="0" fillId="0" borderId="20" xfId="0" applyBorder="true"/>
    <xf numFmtId="10" fontId="33" fillId="25" borderId="20" xfId="0" applyFill="true" applyFont="true" applyNumberFormat="true" applyBorder="true"/>
    <xf numFmtId="0" fontId="34" fillId="19" borderId="0" xfId="0" applyFill="true" applyFont="true"/>
    <xf numFmtId="0" fontId="35" fillId="21" borderId="0" xfId="0" applyFill="true" applyFont="true"/>
    <xf numFmtId="0" fontId="3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7" fillId="25" borderId="20" xfId="0" applyFill="true" applyFont="true" applyBorder="true"/>
    <xf numFmtId="0" fontId="0" fillId="0" borderId="20" xfId="0" applyBorder="true"/>
    <xf numFmtId="10" fontId="38" fillId="25" borderId="20" xfId="0" applyFill="true" applyFont="true" applyNumberFormat="true" applyBorder="true"/>
    <xf numFmtId="0" fontId="39" fillId="19" borderId="0" xfId="0" applyFill="true" applyFont="true"/>
    <xf numFmtId="0" fontId="40" fillId="21" borderId="0" xfId="0" applyFill="true" applyFont="true"/>
    <xf numFmtId="0" fontId="4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2" fillId="25" borderId="20" xfId="0" applyFill="true" applyFont="true" applyBorder="true"/>
    <xf numFmtId="0" fontId="0" fillId="0" borderId="20" xfId="0" applyBorder="true"/>
    <xf numFmtId="10" fontId="43" fillId="25" borderId="20" xfId="0" applyFill="true" applyFont="true" applyNumberFormat="true" applyBorder="true"/>
    <xf numFmtId="0" fontId="44" fillId="19" borderId="0" xfId="0" applyFill="true" applyFont="true"/>
    <xf numFmtId="0" fontId="45" fillId="21" borderId="0" xfId="0" applyFill="true" applyFont="true"/>
    <xf numFmtId="0" fontId="4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7" fillId="25" borderId="20" xfId="0" applyFill="true" applyFont="true" applyBorder="true"/>
    <xf numFmtId="0" fontId="0" fillId="0" borderId="20" xfId="0" applyBorder="true"/>
    <xf numFmtId="10" fontId="48" fillId="25" borderId="20" xfId="0" applyFill="true" applyFont="true" applyNumberFormat="true" applyBorder="true"/>
    <xf numFmtId="0" fontId="49" fillId="19" borderId="0" xfId="0" applyFill="true" applyFont="true"/>
    <xf numFmtId="0" fontId="50" fillId="21" borderId="0" xfId="0" applyFill="true" applyFont="true"/>
    <xf numFmtId="0" fontId="5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2" fillId="25" borderId="20" xfId="0" applyFill="true" applyFont="true" applyBorder="true"/>
    <xf numFmtId="0" fontId="0" fillId="0" borderId="20" xfId="0" applyBorder="true"/>
    <xf numFmtId="10" fontId="53" fillId="25" borderId="20" xfId="0" applyFill="true" applyFont="true" applyNumberFormat="true" applyBorder="true"/>
    <xf numFmtId="0" fontId="54" fillId="19" borderId="0" xfId="0" applyFill="true" applyFont="true"/>
    <xf numFmtId="0" fontId="55" fillId="21" borderId="0" xfId="0" applyFill="true" applyFont="true"/>
    <xf numFmtId="0" fontId="5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7" fillId="25" borderId="20" xfId="0" applyFill="true" applyFont="true" applyBorder="true"/>
    <xf numFmtId="0" fontId="0" fillId="0" borderId="20" xfId="0" applyBorder="true"/>
    <xf numFmtId="10" fontId="58" fillId="25" borderId="20" xfId="0" applyFill="true" applyFont="true" applyNumberFormat="true" applyBorder="true"/>
    <xf numFmtId="0" fontId="59" fillId="19" borderId="0" xfId="0" applyFill="true" applyFont="true"/>
    <xf numFmtId="0" fontId="60" fillId="21" borderId="0" xfId="0" applyFill="true" applyFont="true"/>
    <xf numFmtId="0" fontId="6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2" fillId="25" borderId="20" xfId="0" applyFill="true" applyFont="true" applyBorder="true"/>
    <xf numFmtId="0" fontId="0" fillId="0" borderId="20" xfId="0" applyBorder="true"/>
    <xf numFmtId="10" fontId="63" fillId="25" borderId="20" xfId="0" applyFill="true" applyFont="true" applyNumberFormat="true" applyBorder="true"/>
    <xf numFmtId="0" fontId="64" fillId="19" borderId="0" xfId="0" applyFill="true" applyFont="true"/>
    <xf numFmtId="0" fontId="65" fillId="21" borderId="0" xfId="0" applyFill="true" applyFont="true"/>
    <xf numFmtId="0" fontId="6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7" fillId="25" borderId="20" xfId="0" applyFill="true" applyFont="true" applyBorder="true"/>
    <xf numFmtId="0" fontId="0" fillId="0" borderId="20" xfId="0" applyBorder="true"/>
    <xf numFmtId="10" fontId="68" fillId="25" borderId="20" xfId="0" applyFill="true" applyFont="true" applyNumberFormat="true" applyBorder="true"/>
    <xf numFmtId="0" fontId="69" fillId="19" borderId="0" xfId="0" applyFill="true" applyFont="true"/>
    <xf numFmtId="0" fontId="70" fillId="21" borderId="0" xfId="0" applyFill="true" applyFont="true"/>
    <xf numFmtId="0" fontId="7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2" fillId="25" borderId="20" xfId="0" applyFill="true" applyFont="true" applyBorder="true"/>
    <xf numFmtId="0" fontId="0" fillId="0" borderId="20" xfId="0" applyBorder="true"/>
    <xf numFmtId="10" fontId="73" fillId="25" borderId="20" xfId="0" applyFill="true" applyFont="true" applyNumberFormat="true" applyBorder="true"/>
    <xf numFmtId="0" fontId="74" fillId="19" borderId="0" xfId="0" applyFill="true" applyFont="true"/>
    <xf numFmtId="0" fontId="75" fillId="21" borderId="0" xfId="0" applyFill="true" applyFont="true"/>
    <xf numFmtId="0" fontId="7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7" fillId="25" borderId="20" xfId="0" applyFill="true" applyFont="true" applyBorder="true"/>
    <xf numFmtId="0" fontId="0" fillId="0" borderId="20" xfId="0" applyBorder="true"/>
    <xf numFmtId="10" fontId="78" fillId="25" borderId="20" xfId="0" applyFill="true" applyFont="true" applyNumberFormat="true" applyBorder="true"/>
    <xf numFmtId="0" fontId="79" fillId="19" borderId="0" xfId="0" applyFill="true" applyFont="true"/>
    <xf numFmtId="0" fontId="80" fillId="21" borderId="0" xfId="0" applyFill="true" applyFont="true"/>
    <xf numFmtId="0" fontId="8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2" fillId="25" borderId="20" xfId="0" applyFill="true" applyFont="true" applyBorder="true"/>
    <xf numFmtId="0" fontId="0" fillId="0" borderId="20" xfId="0" applyBorder="true"/>
    <xf numFmtId="10" fontId="83" fillId="25" borderId="20" xfId="0" applyFill="true" applyFont="true" applyNumberFormat="true" applyBorder="true"/>
    <xf numFmtId="0" fontId="84" fillId="19" borderId="0" xfId="0" applyFill="true" applyFont="true"/>
    <xf numFmtId="0" fontId="85" fillId="21" borderId="0" xfId="0" applyFill="true" applyFont="true"/>
    <xf numFmtId="0" fontId="8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7" fillId="25" borderId="20" xfId="0" applyFill="true" applyFont="true" applyBorder="true"/>
    <xf numFmtId="0" fontId="0" fillId="0" borderId="20" xfId="0" applyBorder="true"/>
    <xf numFmtId="10" fontId="88" fillId="25" borderId="20" xfId="0" applyFill="true" applyFont="true" applyNumberFormat="true" applyBorder="true"/>
    <xf numFmtId="0" fontId="89" fillId="19" borderId="0" xfId="0" applyFill="true" applyFont="true"/>
    <xf numFmtId="0" fontId="90" fillId="21" borderId="0" xfId="0" applyFill="true" applyFont="true"/>
    <xf numFmtId="0" fontId="9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2" fillId="25" borderId="20" xfId="0" applyFill="true" applyFont="true" applyBorder="true"/>
    <xf numFmtId="0" fontId="0" fillId="0" borderId="20" xfId="0" applyBorder="true"/>
    <xf numFmtId="10" fontId="93" fillId="25" borderId="20" xfId="0" applyFill="true" applyFont="true" applyNumberFormat="true" applyBorder="true"/>
    <xf numFmtId="0" fontId="94" fillId="19" borderId="0" xfId="0" applyFill="true" applyFont="true"/>
    <xf numFmtId="0" fontId="95" fillId="21" borderId="0" xfId="0" applyFill="true" applyFont="true"/>
    <xf numFmtId="0" fontId="9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7" fillId="25" borderId="20" xfId="0" applyFill="true" applyFont="true" applyBorder="true"/>
    <xf numFmtId="0" fontId="0" fillId="0" borderId="20" xfId="0" applyBorder="true"/>
    <xf numFmtId="10" fontId="98" fillId="25" borderId="20" xfId="0" applyFill="true" applyFont="true" applyNumberFormat="true" applyBorder="true"/>
    <xf numFmtId="0" fontId="99" fillId="19" borderId="0" xfId="0" applyFill="true" applyFont="true"/>
    <xf numFmtId="0" fontId="100" fillId="21" borderId="0" xfId="0" applyFill="true" applyFont="true"/>
    <xf numFmtId="0" fontId="10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2" fillId="25" borderId="20" xfId="0" applyFill="true" applyFont="true" applyBorder="true"/>
    <xf numFmtId="0" fontId="0" fillId="0" borderId="20" xfId="0" applyBorder="true"/>
    <xf numFmtId="10" fontId="103" fillId="25" borderId="20" xfId="0" applyFill="true" applyFont="true" applyNumberFormat="true" applyBorder="true"/>
    <xf numFmtId="0" fontId="104" fillId="19" borderId="0" xfId="0" applyFill="true" applyFont="true"/>
    <xf numFmtId="0" fontId="105" fillId="21" borderId="0" xfId="0" applyFill="true" applyFont="true"/>
    <xf numFmtId="0" fontId="10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7" fillId="25" borderId="20" xfId="0" applyFill="true" applyFont="true" applyBorder="true"/>
    <xf numFmtId="0" fontId="0" fillId="0" borderId="20" xfId="0" applyBorder="true"/>
    <xf numFmtId="10" fontId="108" fillId="25" borderId="20" xfId="0" applyFill="true" applyFont="true" applyNumberFormat="true" applyBorder="true"/>
    <xf numFmtId="0" fontId="109" fillId="19" borderId="0" xfId="0" applyFill="true" applyFont="true"/>
    <xf numFmtId="0" fontId="110" fillId="21" borderId="0" xfId="0" applyFill="true" applyFont="true"/>
    <xf numFmtId="0" fontId="11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2" fillId="25" borderId="20" xfId="0" applyFill="true" applyFont="true" applyBorder="true"/>
    <xf numFmtId="0" fontId="0" fillId="0" borderId="20" xfId="0" applyBorder="true"/>
    <xf numFmtId="10" fontId="113" fillId="25" borderId="20" xfId="0" applyFill="true" applyFont="true" applyNumberFormat="true" applyBorder="true"/>
    <xf numFmtId="0" fontId="114" fillId="19" borderId="0" xfId="0" applyFill="true" applyFont="true"/>
    <xf numFmtId="0" fontId="115" fillId="21" borderId="0" xfId="0" applyFill="true" applyFont="true"/>
    <xf numFmtId="0" fontId="1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7" fillId="25" borderId="20" xfId="0" applyFill="true" applyFont="true" applyBorder="true"/>
    <xf numFmtId="0" fontId="0" fillId="0" borderId="20" xfId="0" applyBorder="true"/>
    <xf numFmtId="10" fontId="118" fillId="25" borderId="20" xfId="0" applyFill="true" applyFont="true" applyNumberFormat="true" applyBorder="true"/>
    <xf numFmtId="0" fontId="119" fillId="19" borderId="0" xfId="0" applyFill="true" applyFont="true"/>
    <xf numFmtId="0" fontId="120" fillId="21" borderId="0" xfId="0" applyFill="true" applyFont="true"/>
    <xf numFmtId="0" fontId="1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22" fillId="25" borderId="20" xfId="0" applyFill="true" applyFont="true" applyBorder="true"/>
    <xf numFmtId="0" fontId="0" fillId="0" borderId="20" xfId="0" applyBorder="true"/>
    <xf numFmtId="10" fontId="123" fillId="25" borderId="20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567">
        <pm:charStyle Id="1" fontId="0" name="Normal"/>
      </pm:charStyles>
      <pm:colors xmlns:pm="smNativeData" count="6" id="1542562567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6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3"/>
  <sheetViews>
    <sheetView tabSelected="1" view="normal" workbookViewId="0" zoomScale="85">
      <pane activePane="bottomRight" state="frozen" topLeftCell="H2" xSplit="7" ySplit="1"/>
      <selection activeCell="D6" pane="bottomRight" sqref="D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30.428571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customFormat="1" customHeight="1" ht="19.50" r="2" s="40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3" t="s">
        <v>316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Format="1" r="3" s="402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316</v>
      </c>
      <c r="H3" s="401" t="s">
        <v>312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r="4" s="402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1" t="s">
        <v>316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customFormat="1" r="5" s="402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316</v>
      </c>
      <c r="H5" s="401" t="s">
        <v>312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customFormat="1" r="6" s="402" spans="1:25">
      <c r="A6" s="396" t="s">
        <v>54</v>
      </c>
      <c r="B6" s="396" t="s">
        <v>54</v>
      </c>
      <c r="C6" s="396" t="s">
        <v>54</v>
      </c>
      <c r="D6" s="396" t="s">
        <v>54</v>
      </c>
      <c r="E6" s="396" t="s">
        <v>54</v>
      </c>
      <c r="F6" s="396" t="s">
        <v>54</v>
      </c>
      <c r="G6" s="396" t="s">
        <v>316</v>
      </c>
      <c r="H6" s="401" t="s">
        <v>313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customFormat="1" r="7" s="402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316</v>
      </c>
      <c r="H7" s="401" t="s">
        <v>314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customFormat="1" r="8" s="402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29" t="s">
        <v>316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customFormat="1" r="9" s="402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316</v>
      </c>
      <c r="H9" s="401" t="s">
        <v>312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402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316</v>
      </c>
      <c r="H10" s="401" t="s">
        <v>313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 t="s">
        <v>54</v>
      </c>
      <c r="M10" s="396" t="s">
        <v>74</v>
      </c>
      <c r="N10" s="396" t="s">
        <v>75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54</v>
      </c>
      <c r="Y10" s="396" t="s">
        <v>54</v>
      </c>
    </row>
    <row customFormat="1" r="11" s="402" spans="1:25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437" t="s">
        <v>316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customFormat="1" r="12" s="402" spans="1:25">
      <c r="A12" s="400" t="s">
        <v>54</v>
      </c>
      <c r="B12" s="396" t="s">
        <v>54</v>
      </c>
      <c r="C12" s="399" t="s">
        <v>54</v>
      </c>
      <c r="D12" s="396" t="s">
        <v>54</v>
      </c>
      <c r="E12" s="396" t="s">
        <v>54</v>
      </c>
      <c r="F12" s="396" t="s">
        <v>54</v>
      </c>
      <c r="G12" s="396" t="s">
        <v>316</v>
      </c>
      <c r="H12" s="401" t="s">
        <v>312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 t="s">
        <v>54</v>
      </c>
      <c r="M12" s="396" t="s">
        <v>62</v>
      </c>
      <c r="N12" s="396" t="s">
        <v>54</v>
      </c>
      <c r="O12" s="396" t="s">
        <v>54</v>
      </c>
      <c r="P12" s="396" t="s">
        <v>54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customFormat="1" r="13" s="402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316</v>
      </c>
      <c r="H13" s="401" t="s">
        <v>313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customFormat="1" r="14" s="402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316</v>
      </c>
      <c r="H14" s="401" t="s">
        <v>314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 t="s">
        <v>54</v>
      </c>
      <c r="O14" s="396" t="s">
        <v>54</v>
      </c>
      <c r="P14" s="396" t="s">
        <v>54</v>
      </c>
      <c r="Q14" s="396" t="s">
        <v>54</v>
      </c>
      <c r="R14" s="396" t="s">
        <v>54</v>
      </c>
      <c r="S14" s="396" t="s">
        <v>54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Format="1" r="15" s="402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316</v>
      </c>
      <c r="H15" s="401" t="s">
        <v>315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 t="s">
        <v>54</v>
      </c>
      <c r="M15" s="396" t="s">
        <v>74</v>
      </c>
      <c r="N15" s="396" t="s">
        <v>81</v>
      </c>
      <c r="O15" s="396" t="s">
        <v>54</v>
      </c>
      <c r="P15" s="396" t="s">
        <v>54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customFormat="1" r="16" s="402" spans="1:25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445" t="s">
        <v>316</v>
      </c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customFormat="1" r="17" s="402" spans="1:25">
      <c r="A17" s="400" t="s">
        <v>54</v>
      </c>
      <c r="B17" s="396" t="s">
        <v>54</v>
      </c>
      <c r="C17" s="399" t="s">
        <v>54</v>
      </c>
      <c r="D17" s="396" t="s">
        <v>54</v>
      </c>
      <c r="E17" s="396" t="s">
        <v>54</v>
      </c>
      <c r="F17" s="396" t="s">
        <v>54</v>
      </c>
      <c r="G17" s="396" t="s">
        <v>316</v>
      </c>
      <c r="H17" s="401" t="s">
        <v>312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 t="s">
        <v>54</v>
      </c>
      <c r="M17" s="396" t="s">
        <v>85</v>
      </c>
      <c r="N17" s="396" t="s">
        <v>54</v>
      </c>
      <c r="O17" s="396" t="s">
        <v>54</v>
      </c>
      <c r="P17" s="396" t="s">
        <v>54</v>
      </c>
      <c r="Q17" s="396" t="s">
        <v>54</v>
      </c>
      <c r="R17" s="396" t="s">
        <v>54</v>
      </c>
      <c r="S17" s="396" t="s">
        <v>54</v>
      </c>
      <c r="T17" s="396" t="s">
        <v>54</v>
      </c>
      <c r="U17" s="396" t="s">
        <v>54</v>
      </c>
      <c r="V17" s="396" t="s">
        <v>54</v>
      </c>
      <c r="W17" s="396" t="s">
        <v>54</v>
      </c>
      <c r="X17" s="396" t="s">
        <v>54</v>
      </c>
      <c r="Y17" s="396" t="s">
        <v>54</v>
      </c>
    </row>
    <row customFormat="1" r="18" s="402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316</v>
      </c>
      <c r="H18" s="401" t="s">
        <v>313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 t="s">
        <v>54</v>
      </c>
      <c r="O18" s="396" t="s">
        <v>54</v>
      </c>
      <c r="P18" s="396" t="s">
        <v>54</v>
      </c>
      <c r="Q18" s="396" t="s">
        <v>54</v>
      </c>
      <c r="R18" s="396" t="s">
        <v>54</v>
      </c>
      <c r="S18" s="396" t="s">
        <v>54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customFormat="1" r="19" s="402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316</v>
      </c>
      <c r="H19" s="401" t="s">
        <v>314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 t="s">
        <v>54</v>
      </c>
      <c r="N19" s="396" t="s">
        <v>89</v>
      </c>
      <c r="O19" s="396" t="s">
        <v>54</v>
      </c>
      <c r="P19" s="396" t="s">
        <v>54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customFormat="1" r="20" s="402" spans="1:25">
      <c r="A20" s="396" t="s">
        <v>54</v>
      </c>
      <c r="B20" s="396" t="s">
        <v>54</v>
      </c>
      <c r="C20" s="396" t="s">
        <v>54</v>
      </c>
      <c r="D20" s="396" t="s">
        <v>54</v>
      </c>
      <c r="E20" s="396" t="s">
        <v>54</v>
      </c>
      <c r="F20" s="396" t="s">
        <v>54</v>
      </c>
      <c r="G20" s="396" t="s">
        <v>316</v>
      </c>
      <c r="H20" s="401" t="s">
        <v>315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 t="s">
        <v>54</v>
      </c>
      <c r="O20" s="396" t="s">
        <v>54</v>
      </c>
      <c r="P20" s="396" t="s">
        <v>54</v>
      </c>
      <c r="Q20" s="396" t="s">
        <v>54</v>
      </c>
      <c r="R20" s="396" t="s">
        <v>54</v>
      </c>
      <c r="S20" s="396" t="s">
        <v>54</v>
      </c>
      <c r="T20" s="396" t="s">
        <v>54</v>
      </c>
      <c r="U20" s="396" t="s">
        <v>54</v>
      </c>
      <c r="V20" s="396" t="s">
        <v>54</v>
      </c>
      <c r="W20" s="396" t="s">
        <v>54</v>
      </c>
      <c r="X20" s="396" t="s">
        <v>54</v>
      </c>
      <c r="Y20" s="396" t="s">
        <v>54</v>
      </c>
    </row>
    <row customFormat="1" r="21" s="402" spans="1:25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453" t="s">
        <v>316</v>
      </c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customFormat="1" r="22" s="402" spans="1:25">
      <c r="A22" s="400" t="s">
        <v>54</v>
      </c>
      <c r="B22" s="396" t="s">
        <v>54</v>
      </c>
      <c r="C22" s="399" t="s">
        <v>54</v>
      </c>
      <c r="D22" s="396" t="s">
        <v>54</v>
      </c>
      <c r="E22" s="396" t="s">
        <v>54</v>
      </c>
      <c r="F22" s="396" t="s">
        <v>54</v>
      </c>
      <c r="G22" s="396" t="s">
        <v>316</v>
      </c>
      <c r="H22" s="401" t="s">
        <v>312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 t="s">
        <v>54</v>
      </c>
      <c r="M22" s="396" t="s">
        <v>92</v>
      </c>
      <c r="N22" s="396" t="s">
        <v>93</v>
      </c>
      <c r="O22" s="396" t="s">
        <v>54</v>
      </c>
      <c r="P22" s="396" t="s">
        <v>54</v>
      </c>
      <c r="Q22" s="396" t="s">
        <v>54</v>
      </c>
      <c r="R22" s="396" t="s">
        <v>54</v>
      </c>
      <c r="S22" s="396" t="s">
        <v>54</v>
      </c>
      <c r="T22" s="396" t="s">
        <v>54</v>
      </c>
      <c r="U22" s="396" t="s">
        <v>54</v>
      </c>
      <c r="V22" s="396" t="s">
        <v>54</v>
      </c>
      <c r="W22" s="396" t="s">
        <v>54</v>
      </c>
      <c r="X22" s="396" t="s">
        <v>54</v>
      </c>
      <c r="Y22" s="396" t="s">
        <v>54</v>
      </c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allowBlank="1" errorStyle="stop" operator="between" showInputMessage="1" sqref="E2 E11:E12 E16:E17 E21:E22" type="list" view="0">
      <formula1>"High, Medium, Low"</formula1>
    </dataValidation>
    <dataValidation allowBlank="1" errorStyle="stop" operator="between" showInputMessage="1" sqref="J2:J3 J11:J14 J16:J22" type="list" view="0">
      <formula1>Keyword!$C$2:$C$500</formula1>
    </dataValidation>
    <dataValidation allowBlank="1" errorStyle="stop" operator="between" showInputMessage="1" sqref="E4:E5" type="list" view="0">
      <formula1>"High, Medium, Low"</formula1>
    </dataValidation>
    <dataValidation allowBlank="1" errorStyle="stop" operator="between" showInputMessage="1" sqref="J4: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6" sqref="E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95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96</v>
      </c>
      <c r="G2" s="397" t="s">
        <v>319</v>
      </c>
      <c r="H2" s="385"/>
      <c r="I2" s="385"/>
      <c r="J2" s="384"/>
    </row>
    <row customHeight="1" ht="15" r="3" spans="1:10">
      <c r="A3" s="382"/>
      <c r="B3" s="407" t="s">
        <v>97</v>
      </c>
      <c r="C3" s="407"/>
      <c r="D3" s="407"/>
      <c r="E3" s="407"/>
      <c r="F3" s="394" t="s">
        <v>98</v>
      </c>
      <c r="G3" s="397" t="s">
        <v>320</v>
      </c>
      <c r="H3" s="385"/>
      <c r="I3" s="385"/>
      <c r="J3" s="384"/>
    </row>
    <row customHeight="1" ht="12.75" r="4" spans="1:10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customHeight="1" ht="12.75" r="5" spans="1:10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customHeight="1" ht="15" r="8" spans="1:10">
      <c r="A8" s="382"/>
      <c r="B8" s="408" t="s">
        <v>101</v>
      </c>
      <c r="C8" s="409"/>
      <c r="D8" s="410"/>
      <c r="E8" s="410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customHeight="1" ht="13.50" r="12" spans="1:10">
      <c r="A12" s="386"/>
      <c r="B12" s="523" t="s">
        <v>49</v>
      </c>
      <c r="C12" s="464">
        <f>COUNTIFS(TC!$A$2:$A$65000,B12,TC!$G$2:$G$65000,"PASS")</f>
      </c>
      <c r="D12" s="472">
        <f>COUNTIFS(TC!$A$2:$A$65000,B12,TC!$G$2:$G$65000,"FAIL")</f>
      </c>
      <c r="E12" s="480">
        <f>COUNTIFS(TC!$A$2:$A$65000,B12,TC!$G$2:$G$65000,"SKIP")</f>
      </c>
      <c r="F12" s="488">
        <f>COUNTIF(TC!$A$2:$A$64788,B12)</f>
      </c>
      <c r="G12" s="497">
        <f>IF(F12=0,0,(C12+D12)/F12)</f>
      </c>
      <c r="H12" s="505">
        <f>IF((F12-E12)=0,0,C12/(F12-E12))</f>
      </c>
      <c r="I12" s="513">
        <f>IF((F12-E12)=0,0,D12/(F12-E12))</f>
      </c>
      <c r="J12" s="382"/>
    </row>
    <row customHeight="1" ht="13.50" r="13" spans="1:10">
      <c r="A13" s="386"/>
      <c r="B13" s="530" t="s">
        <v>317</v>
      </c>
      <c r="C13" s="538">
        <f>SUM(C12:C12)</f>
      </c>
      <c r="D13" s="546">
        <f>SUM(D12:D12)</f>
      </c>
      <c r="E13" s="554">
        <f>SUM(E12:E12)</f>
      </c>
      <c r="F13" s="562">
        <f>SUM(F12:F12)</f>
      </c>
      <c r="G13" s="572">
        <f>IF(F13=0,0,(C13+D13)/F13)</f>
      </c>
      <c r="H13" s="580">
        <f>IF((F13-E13)=0,0,(C13)/(F13-E13))</f>
      </c>
      <c r="I13" s="588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drawing r:id="rId1"/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topLeftCell="A91" view="normal" workbookViewId="0">
      <selection activeCell="A2" sqref="A2:D92"/>
    </sheetView>
  </sheetViews>
  <sheetFormatPr defaultRowHeight="15.40"/>
  <cols>
    <col min="1" max="1" customWidth="true" style="283" width="12.0" collapsed="false"/>
    <col min="2" max="2" customWidth="true" style="283" width="23.142857" collapsed="false"/>
    <col min="3" max="3" customWidth="true" style="283" width="52.857143" collapsed="false"/>
    <col min="4" max="4" customWidth="true" style="283" width="104.142857" collapsed="false"/>
    <col min="5" max="16384" customWidth="true" style="283" width="9.142857" collapsed="false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412" t="s">
        <v>110</v>
      </c>
    </row>
    <row r="3" spans="1:4">
      <c r="A3" s="411" t="s">
        <v>109</v>
      </c>
      <c r="B3" s="411" t="s">
        <v>49</v>
      </c>
      <c r="C3" s="411" t="s">
        <v>79</v>
      </c>
      <c r="D3" s="412" t="s">
        <v>111</v>
      </c>
    </row>
    <row r="4" spans="1:4">
      <c r="A4" s="411" t="s">
        <v>109</v>
      </c>
      <c r="B4" s="411" t="s">
        <v>49</v>
      </c>
      <c r="C4" s="411" t="s">
        <v>66</v>
      </c>
      <c r="D4" s="412" t="s">
        <v>112</v>
      </c>
    </row>
    <row r="5" spans="1:4">
      <c r="A5" s="411" t="s">
        <v>109</v>
      </c>
      <c r="B5" s="411" t="s">
        <v>49</v>
      </c>
      <c r="C5" s="411" t="s">
        <v>88</v>
      </c>
      <c r="D5" s="412" t="s">
        <v>113</v>
      </c>
    </row>
    <row r="6" spans="1:4">
      <c r="A6" s="411" t="s">
        <v>109</v>
      </c>
      <c r="B6" s="411" t="s">
        <v>114</v>
      </c>
      <c r="C6" s="411" t="s">
        <v>56</v>
      </c>
      <c r="D6" s="412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412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412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412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412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412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412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412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412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412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412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412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412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412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412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412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412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412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412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412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412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412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412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412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412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412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412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412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412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412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412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412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412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412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412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412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412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412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412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412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412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412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412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412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412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412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412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412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412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412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412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412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412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412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412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412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412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412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412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412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412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412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412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412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412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412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412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412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412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412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412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412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412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412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412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412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412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412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412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412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412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412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412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412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412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412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412" t="s">
        <v>311</v>
      </c>
    </row>
  </sheetData>
  <autoFilter ref="A1:D91"/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2018-11-18T17:36:07Z</dcterms:modified>
  <cp:revision>0</cp:revision>
</cp:coreProperties>
</file>