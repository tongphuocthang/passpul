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TC!$A$1:$Y$29</definedName>
    <definedName hidden="1" localSheetId="4" name="_xlnm._FilterDatabase">Keyword!$A$1:$D$91</definedName>
  </definedNames>
  <calcPr/>
  <extLst>
    <ext uri="smNativeData">
      <pm:revision xmlns:pm="smNativeData" day="1542770266" rev="123" revOS="4" val="938"/>
      <pm:docPrefs xmlns:pm="smNativeData" autoChart="1" compatTextArt="1" finalRounding="1" fixedDigits="0" id="1542770266" printArea="currentSheet" recalcOnCopy="1" recalcOnPrint="1" showFrameBounds="1" showNotice="1" tab="567" useDefinedPrintRange="1"/>
      <pm:compatibility xmlns:pm="smNativeData" id="1542770266" overlapCells="1"/>
      <pm:defCurrency xmlns:pm="smNativeData" id="1542770266"/>
    </ext>
  </extLst>
</workbook>
</file>

<file path=xl/sharedStrings.xml><?xml version="1.0" encoding="utf-8"?>
<sst xmlns="http://schemas.openxmlformats.org/spreadsheetml/2006/main" count="921" uniqueCount="341">
  <si>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</si>
  <si>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</si>
  <si>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</si>
  <si>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</si>
  <si>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</si>
  <si>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</si>
  <si>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</si>
  <si>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</si>
  <si>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</si>
  <si>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</si>
  <si>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</si>
  <si>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</si>
  <si>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</si>
  <si>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</si>
  <si>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</si>
  <si>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</si>
  <si>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</si>
  <si>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</si>
  <si>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</si>
  <si>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</si>
  <si>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</si>
  <si>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</si>
  <si>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</si>
  <si>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</si>
  <si>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</si>
  <si>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</si>
  <si>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</si>
  <si>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</si>
  <si>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</si>
  <si>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</si>
  <si>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</si>
  <si>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</si>
  <si>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</si>
  <si>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</si>
  <si>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</si>
  <si>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</si>
  <si>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</si>
  <si>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</si>
  <si>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</si>
  <si>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</si>
  <si>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</si>
  <si>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</si>
  <si>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</si>
  <si>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</si>
  <si>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</si>
  <si>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</si>
  <si>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</si>
  <si>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</si>
  <si>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</si>
  <si>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</si>
  <si>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</si>
  <si>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Go to DCM Login Screen successfully</t>
  </si>
  <si>
    <t>Medium</t>
  </si>
  <si>
    <t>Y</t>
  </si>
  <si>
    <t/>
  </si>
  <si>
    <t>Go to DCM Login Screen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</si>
  <si>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</si>
  <si>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</si>
  <si>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</si>
  <si>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</si>
  <si>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</si>
  <si>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</si>
  <si>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</si>
  <si>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</si>
  <si>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</si>
  <si>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</si>
  <si>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</si>
  <si>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</si>
  <si>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</si>
  <si>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</si>
  <si>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</si>
  <si>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</si>
  <si>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TC_03</t>
  </si>
  <si>
    <t>N</t>
  </si>
  <si>
    <t>CHOOSE FILE</t>
  </si>
  <si>
    <t>DCM_OfferCreate_Attachment</t>
  </si>
  <si>
    <t>exampleFileUpload01</t>
  </si>
  <si>
    <t>PAUSE</t>
  </si>
  <si>
    <t>TC_04</t>
  </si>
  <si>
    <t>Verify Offer ID</t>
  </si>
  <si>
    <t>VERIFY TEXT DB</t>
  </si>
  <si>
    <t>DCM_OfferCreate_OfferID_Label</t>
  </si>
  <si>
    <t>DCM_GetAPNBR</t>
  </si>
  <si>
    <t>TC_05</t>
  </si>
  <si>
    <t>Verify Supplier Narrow list</t>
  </si>
  <si>
    <t>Set text Supplier</t>
  </si>
  <si>
    <t>DCM_OfferCreate_Supplier_Textbox</t>
  </si>
  <si>
    <t>sup</t>
  </si>
  <si>
    <t>VERIFY DROPDOWN DB</t>
  </si>
  <si>
    <t>DCM_OfferCreate_Supplier_Options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</si>
  <si>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</si>
  <si>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</si>
  <si>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</si>
  <si>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</si>
  <si>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</si>
  <si>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</si>
  <si>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</si>
  <si>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SELECT DROPDOWN BY VALUE</t>
  </si>
  <si>
    <t>HEB BDM</t>
  </si>
  <si>
    <t>Input [Andy] for [Assigned To ID]</t>
  </si>
  <si>
    <t>DCM_OfferCreate_AssignToID_Textbox</t>
  </si>
  <si>
    <t>Andy</t>
  </si>
  <si>
    <t>DCM_OfferCreate_AssignToID_Options</t>
  </si>
  <si>
    <t>Verify Owner is invalid</t>
  </si>
  <si>
    <t>Input invalid owner</t>
  </si>
  <si>
    <t>DCM_OfferCreate_OwnerID_Textbox</t>
  </si>
  <si>
    <t>thang</t>
  </si>
  <si>
    <t>Press tab</t>
  </si>
  <si>
    <t>TAB</t>
  </si>
  <si>
    <t>Wait for Ajax</t>
  </si>
  <si>
    <t>VERIFY TEXT</t>
  </si>
  <si>
    <t>DCM_OfferCreate_ErrorDisplay_Label</t>
  </si>
  <si>
    <t>The following errors were encountered:
Owner is invalid.</t>
  </si>
  <si>
    <t>END</t>
  </si>
  <si>
    <t>Predefined list</t>
  </si>
  <si>
    <t>Supplier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</si>
  <si>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</si>
  <si>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</si>
  <si>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</si>
  <si>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</si>
  <si>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</si>
  <si>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</si>
  <si>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</si>
  <si>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</si>
  <si>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</si>
  <si>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</si>
  <si>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</si>
  <si>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</si>
  <si>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</si>
  <si>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</si>
  <si>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</si>
  <si>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</si>
  <si>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</si>
  <si>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</si>
  <si>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</si>
  <si>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</si>
  <si>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</si>
  <si>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</si>
  <si>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</si>
  <si>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</si>
  <si>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</si>
  <si>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</si>
  <si>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</si>
  <si>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</si>
  <si>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</si>
  <si>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</si>
  <si>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</si>
  <si>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</si>
  <si>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</si>
  <si>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</si>
  <si>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</si>
  <si>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</si>
  <si>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</si>
  <si>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</si>
  <si>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</si>
  <si>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</si>
  <si>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</si>
  <si>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</si>
  <si>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</si>
  <si>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</si>
  <si>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</si>
  <si>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</si>
  <si>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</si>
  <si>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</si>
  <si>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</si>
  <si>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</si>
  <si>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</si>
  <si>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</si>
  <si>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</si>
  <si>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</si>
  <si>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</si>
  <si>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</si>
  <si>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</si>
  <si>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</si>
  <si>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</si>
  <si>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</si>
  <si>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</si>
  <si>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</si>
  <si>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</si>
  <si>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</si>
  <si>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</si>
  <si>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</si>
  <si>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</si>
  <si>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</si>
  <si>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</si>
  <si>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</si>
  <si>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</si>
  <si>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</si>
  <si>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</si>
  <si>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</si>
  <si>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</si>
  <si>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</si>
  <si>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</si>
  <si>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</si>
  <si>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</si>
  <si>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</si>
  <si>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</si>
  <si>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</si>
  <si>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</si>
  <si>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</si>
  <si>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</si>
  <si>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</si>
  <si>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</si>
  <si>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</si>
  <si>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</si>
  <si>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</si>
  <si>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</si>
  <si>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</si>
  <si>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</si>
  <si>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</si>
  <si>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</si>
  <si>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</si>
  <si>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</si>
  <si>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</si>
  <si>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</si>
  <si>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</si>
  <si>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</si>
  <si>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</si>
  <si>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</si>
  <si>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</si>
  <si>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</si>
  <si>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</si>
  <si>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</si>
  <si>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</si>
  <si>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</si>
  <si>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</si>
  <si>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</si>
  <si>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</si>
  <si>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</si>
  <si>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</si>
  <si>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</si>
  <si>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</si>
  <si>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</si>
  <si>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</si>
  <si>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</si>
  <si>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</si>
  <si>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</si>
  <si>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</si>
  <si>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</si>
  <si>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</si>
  <si>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</si>
  <si>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</si>
  <si>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</si>
  <si>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</si>
  <si>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</si>
  <si>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</si>
  <si>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</si>
  <si>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</si>
  <si>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</si>
  <si>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</si>
  <si>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</si>
  <si>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</si>
  <si>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</si>
  <si>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</si>
  <si>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</si>
  <si>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</si>
  <si>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</si>
  <si>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</si>
  <si>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</si>
  <si>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</si>
  <si>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</si>
  <si>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</si>
  <si>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</si>
  <si>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</si>
  <si>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</si>
  <si>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</si>
  <si>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</si>
  <si>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</si>
  <si>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</si>
  <si>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</si>
  <si>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</si>
  <si>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</si>
  <si>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</si>
  <si>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</si>
  <si>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</si>
  <si>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</si>
  <si>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</si>
  <si>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</si>
  <si>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</si>
  <si>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</si>
  <si>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</si>
  <si>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</si>
  <si>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</si>
  <si>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</si>
  <si>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</si>
  <si>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</si>
  <si>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</si>
  <si>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</si>
  <si>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</si>
  <si>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</si>
  <si>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</si>
  <si>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</si>
  <si>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</si>
  <si>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</si>
  <si>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</si>
  <si>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</si>
  <si>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</si>
  <si>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</si>
  <si>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</si>
  <si>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</si>
  <si>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</si>
  <si>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</si>
  <si>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</si>
  <si>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</si>
  <si>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</si>
  <si>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</si>
  <si>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</si>
  <si>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</si>
  <si>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</si>
  <si>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</si>
  <si>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</si>
  <si>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</si>
  <si>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</si>
  <si>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</si>
  <si>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</si>
  <si>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</si>
  <si>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</si>
  <si>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</si>
  <si>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</si>
  <si>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</si>
  <si>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</si>
  <si>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</si>
  <si>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</si>
  <si>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</si>
  <si>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</si>
  <si>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</si>
  <si>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</si>
  <si>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</si>
  <si>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</si>
  <si>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</si>
  <si>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</si>
  <si>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4</t>
  </si>
  <si>
    <t>SKIP</t>
  </si>
  <si>
    <t>PASS</t>
  </si>
  <si>
    <t>FAIL</t>
  </si>
  <si>
    <t>ACTUAL: 
29770 - 3-D WELDING &amp; INDUSTRAIL SUPPL - DSD
61879 - A &amp; F WELDING SUPPLY INC - DSD
80001 - ABRAMS PRICING &amp; SUPPLY - DSD
9783 - ACE MART RESTAURANT SUPPLY - WHS
9114909 - ADAMS WHOLE SUPPLY INC - WHS
60005 - ALAMO HANGER &amp; SUPPLY CO INC - WHS
15440 - ALAMO TRANSFORMER SUPPLY CO - WHS
1054 - ALLIED PLASTIC SUPPLY INC - WHS
1270 - AMERICAN CLEANING SUPPLY - WHS
9101788 - AOSS MEDICAL SUPPLY INC - WHS
2300 - BASCO SUPPLY CO, INC. - DSD
9128495 - BEER SAMPLE SUPPLIER - DSD
85460 - BOWEN FLORAL SUPPLY, INC - DSD
61962 - BRAZOS VALLEY WELDING SUPPLY - DSD
3699 - BUQUET SUPPLY, INC - DSD
86060 - CALIFORNIA PHYSICIANS SUPPL. - DSD
9136690 - CALIFORNIA PHYSICIANS SUPPLEME - WHS
86861 - CEYLON ROYAL TEA &amp; SUPPLIES - WHS
94739 - COASTAL WELDING SUPPLY INC - DSD
9106539 - CONSUP NORTH AMERICA - WHS
9106402 - CROSS TEXAS SUPPLY, LLC - DSD
8668 - DEL CAMPO SUPREME INC - WHS
63120 - DELEK MARKETING &amp; SUPPLY - DSD
63815 - DIRECT SUPPLY DISTRIBUTION LLC - WHS
2296 - DO NOT USE-BASIN WELDING SUPPL - DSD
61894 - DO NOT USE-CENTRAL WELDING SUP - DSD
9101065 - DOCTOR T'S SUPERGOOP - DSD
9124852 - DUKE CANNON SUPPLY CO - WHS
9116390 - DUPUY OXYGEN &amp; SUPPLY COMPANY - DSD
9106939 - ESSENTIAL MEDICAL SUPPLY - WHS
9130419 - FARM DIRECT SUPPLY LLC - WHS
9109813 - FLORAL SUPPLY SYNDICATE - DSD
9109813 - FLORAL SUPPLY SYNDICATE - WHS
81580 - FLYING J SUPPLY - DSD
12044 - G M SUPER SALES CO INC - WHS
9106392 - GLOBAL SUPPLIERS, INC - WHS
10325 - GLOBETRENDS SUPPORT INC - DSD
9122408 - GROCERY SUPPLY COMPANY - DSD
9122408 - GROCERY SUPPLY COMPANY - WHS
9131587 - GUILTLESS SUPERFOODS - DSD
9131587 - GUILTLESS SUPERFOODS - WHS
61341 - HEB SUPERMERCADOS INTERNACIONA - DSD
61341 - HEB SUPERMERCADOS INTERNACIONA - WHS
61094 - HIGHLAND SUPPLY CORPORATION - DSD
61094 - HIGHLAND SUPPLY CORPORATION - WHS
11710 - HODGES WELDING SUPPLY INC - DSD
12053 - HORIZON FOOD SERVICE &amp; SUPPLY - DSD
12053 - HORIZON FOOD SERVICE &amp; SUPPLY - WHS
84979 - ICC PACKAGING AND SUPPLY - WHS
9103884 - INTERNATIONAL RIBBON SUPPLY - WHS
9107373 - JACOBSON FLORAL SUPPLY INC - DSD
13533 - JOHNSON BROS BAKERY SUPPLY - DSD
13533 - JOHNSON BROS BAKERY SUPPLY - WHS
9118639 - KATHIES KITCHEN SUPERSEEDZ - WHS
13812 - KILLEEN WELDING SUPPLY - DSD
13890 - KITCHEN SUPPLY CO - DSD
13890 - KITCHEN SUPPLY CO - WHS
9130937 - LA SUPERIOR FOODS INC - DSD
60224 - LE BEST BANANA SUPPLY - WHS
9119711 - LLANO WELDING SUPPLY LP - DSD
9119395 - LONESTAR TANK &amp; SUPPLY LLC - DSD
61855 - MCDONALD WELDING SUPPLY INC - DSD
61836 - MCGREGOR WELDING SUPPLY - DSD
9138003 - MYSUPERFOODS COMPANY LLC - WHS
24772 - PACIFIC SUPREME CO. - WHS
19094 - PACIUGO SUPPLY CO. - DSD
19200 - PARRISH'S CAKE SUPPLIES - DSD
9114048 - PATTERSON MEDICAL SUPPLY INC - DSD
9114048 - PATTERSON MEDICAL SUPPLY INC - WHS
9123142 - PETVET SUPPLIES - WHS
9125202 - PHARMA SUPPLY INC - WHS
26462 - PRINTED SUPPLIES INC - WHS
9116862 - ROUND ROCK WELDING SUPPLY - DSD
13739 - SAFETY SUPPLY INC - WHS
23855 - SEAFOOD SUPPLY COMPANY INC - DSD
26075 - SPORTS SUPPLEMENTS OF TX - DSD
9138065 - SUPER IMPULSE USA LLC - WHS
9111048 - SUPER LOPEZ TORTILLA FACTORY I - DSD
9111957 - SUPER MAX CORP - WHS
26667 - SUPER NUTRITION - DSD
26667 - SUPER NUTRITION - WHS
63170 - SUPER PITA - DSD
32104 - SUPER SOPAS SA DE CV - WHS
9132676 - SUPER STARR INTERNATIONAL LLC - WHS
61664 - SUPER TECHNOLOGY LTD - WHS
9124860 - SUPER-SPARKLY SAFETY STUFF LLC - WHS
62117 - SUPERBAG OPERATING LTD - WHS
9130175 - SUPERIOR CAKE PRODUCTS INC - WHS
9101095 - SUPERIOR COMMUNICATION PRODUCT - DSD
83533 - SUPERIOR FARMS - WHS
63060 - SUPERIOR FLORALS INC - DSD
63060 - SUPERIOR FLORALS INC - WHS
32089 - SUPERIOR FOODS INC - WHS
9138135 - SUPERIOR NUT &amp; CANDY CO INC - WHS
32103 - SUPERIOR PACKAGING - WHS
62093 - SUPERIOR SALES INC - WHS
63589 - SUPERIOR SOURCE MARKETING INC - WHS
81014 - SUPERIOR STUDIO SPECIALTIES IN - WHS
61747 - SUPERIOR TOMATO AVOCADO LTD - DSD
61747 - SUPERIOR TOMATO AVOCADO LTD - WHS
9132788 - SUPERLEAF LLC - WHS
9122776 - SUPERPUFFT SNACK CORP - WHS
85360 - SUPERSONIC INC - WHS
32082 - SUPERTOYS IND. CO. LTD. - WHS
55920 - SUPHERB FARMS - DSD
55920 - SUPHERB FARMS - WHS
9106361 - SUPPLE SKIN LLC - DSD
9106361 - SUPPLE SKIN LLC - WHS
9106097 - SUPPLEMENTAL MANUFACTURING &amp; I - WHS
9120988 - SUPPLIES DISTRIBUTORS INC - DSD
9120988 - SUPPLIES DISTRIBUTORS INC - WHS
32110 - SUPPORT MATERIALS VENDOR - DSD
32110 - SUPPORT MATERIALS VENDOR - WHS
9137367 - SUPREME BERRY FARMS LLC - WHS
63212 - SUPREME CHEMICALS OF GEORGIA - WHS
83713 - SUPREME CHOCOLATIER LLC - WHS
9125088 - SUPREME CUTS LLC - WHS
32135 - SUPREME DISTRIBUTORS CO - WHS
32120 - SUPREME INDUSTRIAL CO - WHS
9103144 - SUPREME PROTEIN LLC - WHS
800062 - SUPREME TOY &amp; PARTY - WHS
9134283 - SUPREME TOY &amp; PARTY - WHS
32133 - SUPREME TOYS (HK) LTD - WHS
63402 - SWEET SUPERIOR FRUIT LTD CO - DSD
63402 - SWEET SUPERIOR FRUIT LTD CO - WHS
9108817 - TEMPLE WELDING SUPPLY - DSD
32658 - TEXAS STORE FIXTURES/SUPPLIES - WHS
9139022 - TOMMYS SUPERFOODS LLC - WHS
33006 - TOTAL PHARMACY SUPPLY - DSD
33006 - TOTAL PHARMACY SUPPLY - WHS
63055 - TRISTAR WELDING SUPPLY CO - DSD
9133296 - ULTIMATE SUPERFOODS INC - WHS
9103812 - UNITED GENERAL SUPPLY CO INC - DSD
9103812 - UNITED GENERAL SUPPLY CO INC - WHS
9103852 - UNITED GENERAL SUPPLY CO INC - WHS
9109043 - UNITED NATIONAL CONSUMER SUPPL - WHS
33753 - V &amp; V SUPREMO FOODS - DSD
33753 - V &amp; V SUPREMO FOODS - WHS
9116379 - V&amp;V SUPREMO - DSD
9116379 - V&amp;V SUPREMO - WHS
29217 - VALERO MARKETING &amp; SUPPLY CO - DSD
9129414 - WATCO SUPPLY CHAIN SERVICES - WHS
99348 - WB SUPPLY &amp; MERCHANDISING LLC - WHS
62507 - WELDERS SUPPLY CO - DSD
9134229 - WHITTLESEY LANDSCAPE SUPPLIES - DSD
EXPECTED: 
18900
20988
21769
28275
82023
9105193
9112795
9113741
9116083</t>
  </si>
  <si>
    <t>https://www.dropbox.com/s/jq4k2jujfo1fqw2/20181121_102343.png?dl=0</t>
  </si>
  <si>
    <t>Grand Total</t>
  </si>
  <si>
    <t>11/21/2018 10:23:03</t>
  </si>
  <si>
    <t>11/21/2018 10:24:06</t>
  </si>
  <si>
    <t>1 min, 2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</si>
</sst>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4">
    <font>
      <name val="Calibri"/>
      <family val="2"/>
      <color rgb="FF000000"/>
      <sz val="11"/>
      <extLst>
        <ext uri="smNativeData">
          <pm:charSpec xmlns:pm="smNativeData" id="15427702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70266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702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702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702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70266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702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70266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70266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70266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70266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70266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70266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70266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1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70266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702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02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02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02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7026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2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02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70266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2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2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266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70266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70266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702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70266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702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0266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70266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6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266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70266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26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26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266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70266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70266"/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89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numFmtId="0" fontId="14" fillId="24" borderId="0" xfId="0" applyFill="true" applyFont="true"/>
    <xf numFmtId="0" fontId="15" fillId="26" borderId="0" xfId="0" applyFill="true" applyFont="true"/>
    <xf numFmtId="0" fontId="1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7" fillId="30" borderId="25" xfId="0" applyFill="true" applyFont="true" applyBorder="true"/>
    <xf numFmtId="0" fontId="0" fillId="0" borderId="25" xfId="0" applyBorder="true"/>
    <xf numFmtId="10" fontId="18" fillId="30" borderId="25" xfId="0" applyFill="true" applyFont="true" applyNumberFormat="true" applyBorder="true"/>
    <xf numFmtId="0" fontId="19" fillId="24" borderId="0" xfId="0" applyFill="true" applyFont="true"/>
    <xf numFmtId="0" fontId="20" fillId="26" borderId="0" xfId="0" applyFill="true" applyFont="true"/>
    <xf numFmtId="0" fontId="2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2" fillId="30" borderId="25" xfId="0" applyFill="true" applyFont="true" applyBorder="true"/>
    <xf numFmtId="0" fontId="0" fillId="0" borderId="25" xfId="0" applyBorder="true"/>
    <xf numFmtId="10" fontId="23" fillId="30" borderId="25" xfId="0" applyFill="true" applyFont="true" applyNumberFormat="true" applyBorder="true"/>
    <xf numFmtId="0" fontId="24" fillId="24" borderId="0" xfId="0" applyFill="true" applyFont="true"/>
    <xf numFmtId="0" fontId="25" fillId="26" borderId="0" xfId="0" applyFill="true" applyFont="true"/>
    <xf numFmtId="0" fontId="2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27" fillId="30" borderId="25" xfId="0" applyFill="true" applyFont="true" applyBorder="true"/>
    <xf numFmtId="0" fontId="0" fillId="0" borderId="25" xfId="0" applyBorder="true"/>
    <xf numFmtId="10" fontId="28" fillId="30" borderId="25" xfId="0" applyFill="true" applyFont="true" applyNumberFormat="true" applyBorder="true"/>
    <xf numFmtId="0" fontId="29" fillId="24" borderId="0" xfId="0" applyFill="true" applyFont="true"/>
    <xf numFmtId="0" fontId="30" fillId="26" borderId="0" xfId="0" applyFill="true" applyFont="true"/>
    <xf numFmtId="0" fontId="3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2" fillId="30" borderId="25" xfId="0" applyFill="true" applyFont="true" applyBorder="true"/>
    <xf numFmtId="0" fontId="0" fillId="0" borderId="25" xfId="0" applyBorder="true"/>
    <xf numFmtId="10" fontId="33" fillId="30" borderId="25" xfId="0" applyFill="true" applyFont="true" applyNumberFormat="true" applyBorder="true"/>
    <xf numFmtId="0" fontId="34" fillId="24" borderId="0" xfId="0" applyFill="true" applyFont="true"/>
    <xf numFmtId="0" fontId="35" fillId="26" borderId="0" xfId="0" applyFill="true" applyFont="true"/>
    <xf numFmtId="0" fontId="3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37" fillId="30" borderId="25" xfId="0" applyFill="true" applyFont="true" applyBorder="true"/>
    <xf numFmtId="0" fontId="0" fillId="0" borderId="25" xfId="0" applyBorder="true"/>
    <xf numFmtId="10" fontId="38" fillId="30" borderId="25" xfId="0" applyFill="true" applyFont="true" applyNumberFormat="true" applyBorder="true"/>
    <xf numFmtId="0" fontId="39" fillId="24" borderId="0" xfId="0" applyFill="true" applyFont="true"/>
    <xf numFmtId="0" fontId="40" fillId="26" borderId="0" xfId="0" applyFill="true" applyFont="true"/>
    <xf numFmtId="0" fontId="4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2" fillId="30" borderId="25" xfId="0" applyFill="true" applyFont="true" applyBorder="true"/>
    <xf numFmtId="0" fontId="0" fillId="0" borderId="25" xfId="0" applyBorder="true"/>
    <xf numFmtId="10" fontId="43" fillId="30" borderId="25" xfId="0" applyFill="true" applyFont="true" applyNumberFormat="true" applyBorder="true"/>
    <xf numFmtId="0" fontId="44" fillId="24" borderId="0" xfId="0" applyFill="true" applyFont="true"/>
    <xf numFmtId="0" fontId="45" fillId="26" borderId="0" xfId="0" applyFill="true" applyFont="true"/>
    <xf numFmtId="0" fontId="4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47" fillId="30" borderId="25" xfId="0" applyFill="true" applyFont="true" applyBorder="true"/>
    <xf numFmtId="0" fontId="0" fillId="0" borderId="25" xfId="0" applyBorder="true"/>
    <xf numFmtId="10" fontId="48" fillId="30" borderId="25" xfId="0" applyFill="true" applyFont="true" applyNumberFormat="true" applyBorder="true"/>
    <xf numFmtId="0" fontId="49" fillId="24" borderId="0" xfId="0" applyFill="true" applyFont="true"/>
    <xf numFmtId="0" fontId="50" fillId="26" borderId="0" xfId="0" applyFill="true" applyFont="true"/>
    <xf numFmtId="0" fontId="5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2" fillId="30" borderId="25" xfId="0" applyFill="true" applyFont="true" applyBorder="true"/>
    <xf numFmtId="0" fontId="0" fillId="0" borderId="25" xfId="0" applyBorder="true"/>
    <xf numFmtId="10" fontId="53" fillId="30" borderId="25" xfId="0" applyFill="true" applyFont="true" applyNumberFormat="true" applyBorder="true"/>
    <xf numFmtId="0" fontId="54" fillId="24" borderId="0" xfId="0" applyFill="true" applyFont="true"/>
    <xf numFmtId="0" fontId="55" fillId="26" borderId="0" xfId="0" applyFill="true" applyFont="true"/>
    <xf numFmtId="0" fontId="5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57" fillId="30" borderId="25" xfId="0" applyFill="true" applyFont="true" applyBorder="true"/>
    <xf numFmtId="0" fontId="0" fillId="0" borderId="25" xfId="0" applyBorder="true"/>
    <xf numFmtId="10" fontId="58" fillId="30" borderId="25" xfId="0" applyFill="true" applyFont="true" applyNumberFormat="true" applyBorder="true"/>
    <xf numFmtId="0" fontId="59" fillId="24" borderId="0" xfId="0" applyFill="true" applyFont="true"/>
    <xf numFmtId="0" fontId="60" fillId="26" borderId="0" xfId="0" applyFill="true" applyFont="true"/>
    <xf numFmtId="0" fontId="6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2" fillId="30" borderId="25" xfId="0" applyFill="true" applyFont="true" applyBorder="true"/>
    <xf numFmtId="0" fontId="0" fillId="0" borderId="25" xfId="0" applyBorder="true"/>
    <xf numFmtId="10" fontId="63" fillId="30" borderId="25" xfId="0" applyFill="true" applyFont="true" applyNumberFormat="true" applyBorder="true"/>
    <xf numFmtId="0" fontId="64" fillId="24" borderId="0" xfId="0" applyFill="true" applyFont="true"/>
    <xf numFmtId="0" fontId="65" fillId="26" borderId="0" xfId="0" applyFill="true" applyFont="true"/>
    <xf numFmtId="0" fontId="6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67" fillId="30" borderId="25" xfId="0" applyFill="true" applyFont="true" applyBorder="true"/>
    <xf numFmtId="0" fontId="0" fillId="0" borderId="25" xfId="0" applyBorder="true"/>
    <xf numFmtId="10" fontId="68" fillId="30" borderId="25" xfId="0" applyFill="true" applyFont="true" applyNumberFormat="true" applyBorder="true"/>
    <xf numFmtId="0" fontId="69" fillId="24" borderId="0" xfId="0" applyFill="true" applyFont="true"/>
    <xf numFmtId="0" fontId="70" fillId="26" borderId="0" xfId="0" applyFill="true" applyFont="true"/>
    <xf numFmtId="0" fontId="7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2" fillId="30" borderId="25" xfId="0" applyFill="true" applyFont="true" applyBorder="true"/>
    <xf numFmtId="0" fontId="0" fillId="0" borderId="25" xfId="0" applyBorder="true"/>
    <xf numFmtId="10" fontId="73" fillId="30" borderId="25" xfId="0" applyFill="true" applyFont="true" applyNumberFormat="true" applyBorder="true"/>
    <xf numFmtId="0" fontId="74" fillId="24" borderId="0" xfId="0" applyFill="true" applyFont="true"/>
    <xf numFmtId="0" fontId="75" fillId="26" borderId="0" xfId="0" applyFill="true" applyFont="true"/>
    <xf numFmtId="0" fontId="7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77" fillId="30" borderId="25" xfId="0" applyFill="true" applyFont="true" applyBorder="true"/>
    <xf numFmtId="0" fontId="0" fillId="0" borderId="25" xfId="0" applyBorder="true"/>
    <xf numFmtId="10" fontId="78" fillId="30" borderId="25" xfId="0" applyFill="true" applyFont="true" applyNumberFormat="true" applyBorder="true"/>
    <xf numFmtId="0" fontId="79" fillId="24" borderId="0" xfId="0" applyFill="true" applyFont="true"/>
    <xf numFmtId="0" fontId="80" fillId="26" borderId="0" xfId="0" applyFill="true" applyFont="true"/>
    <xf numFmtId="0" fontId="8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2" fillId="30" borderId="25" xfId="0" applyFill="true" applyFont="true" applyBorder="true"/>
    <xf numFmtId="0" fontId="0" fillId="0" borderId="25" xfId="0" applyBorder="true"/>
    <xf numFmtId="10" fontId="83" fillId="30" borderId="25" xfId="0" applyFill="true" applyFont="true" applyNumberFormat="true" applyBorder="true"/>
    <xf numFmtId="0" fontId="84" fillId="24" borderId="0" xfId="0" applyFill="true" applyFont="true"/>
    <xf numFmtId="0" fontId="85" fillId="26" borderId="0" xfId="0" applyFill="true" applyFont="true"/>
    <xf numFmtId="0" fontId="8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87" fillId="30" borderId="25" xfId="0" applyFill="true" applyFont="true" applyBorder="true"/>
    <xf numFmtId="0" fontId="0" fillId="0" borderId="25" xfId="0" applyBorder="true"/>
    <xf numFmtId="10" fontId="88" fillId="30" borderId="25" xfId="0" applyFill="true" applyFont="true" applyNumberFormat="true" applyBorder="true"/>
    <xf numFmtId="0" fontId="89" fillId="24" borderId="0" xfId="0" applyFill="true" applyFont="true"/>
    <xf numFmtId="0" fontId="90" fillId="26" borderId="0" xfId="0" applyFill="true" applyFont="true"/>
    <xf numFmtId="0" fontId="9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2" fillId="30" borderId="25" xfId="0" applyFill="true" applyFont="true" applyBorder="true"/>
    <xf numFmtId="0" fontId="0" fillId="0" borderId="25" xfId="0" applyBorder="true"/>
    <xf numFmtId="10" fontId="93" fillId="30" borderId="25" xfId="0" applyFill="true" applyFont="true" applyNumberFormat="true" applyBorder="true"/>
    <xf numFmtId="0" fontId="94" fillId="24" borderId="0" xfId="0" applyFill="true" applyFont="true"/>
    <xf numFmtId="0" fontId="95" fillId="26" borderId="0" xfId="0" applyFill="true" applyFont="true"/>
    <xf numFmtId="0" fontId="9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97" fillId="30" borderId="25" xfId="0" applyFill="true" applyFont="true" applyBorder="true"/>
    <xf numFmtId="0" fontId="0" fillId="0" borderId="25" xfId="0" applyBorder="true"/>
    <xf numFmtId="10" fontId="98" fillId="30" borderId="25" xfId="0" applyFill="true" applyFont="true" applyNumberFormat="true" applyBorder="true"/>
    <xf numFmtId="0" fontId="99" fillId="24" borderId="0" xfId="0" applyFill="true" applyFont="true"/>
    <xf numFmtId="0" fontId="100" fillId="26" borderId="0" xfId="0" applyFill="true" applyFont="true"/>
    <xf numFmtId="0" fontId="10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2" fillId="30" borderId="25" xfId="0" applyFill="true" applyFont="true" applyBorder="true"/>
    <xf numFmtId="0" fontId="0" fillId="0" borderId="25" xfId="0" applyBorder="true"/>
    <xf numFmtId="10" fontId="103" fillId="30" borderId="25" xfId="0" applyFill="true" applyFont="true" applyNumberFormat="true" applyBorder="true"/>
    <xf numFmtId="0" fontId="104" fillId="24" borderId="0" xfId="0" applyFill="true" applyFont="true"/>
    <xf numFmtId="0" fontId="105" fillId="26" borderId="0" xfId="0" applyFill="true" applyFont="true"/>
    <xf numFmtId="0" fontId="10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07" fillId="30" borderId="25" xfId="0" applyFill="true" applyFont="true" applyBorder="true"/>
    <xf numFmtId="0" fontId="0" fillId="0" borderId="25" xfId="0" applyBorder="true"/>
    <xf numFmtId="10" fontId="108" fillId="30" borderId="25" xfId="0" applyFill="true" applyFont="true" applyNumberFormat="true" applyBorder="true"/>
    <xf numFmtId="0" fontId="109" fillId="24" borderId="0" xfId="0" applyFill="true" applyFont="true"/>
    <xf numFmtId="0" fontId="110" fillId="26" borderId="0" xfId="0" applyFill="true" applyFont="true"/>
    <xf numFmtId="0" fontId="11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12" fillId="30" borderId="25" xfId="0" applyFill="true" applyFont="true" applyBorder="true"/>
    <xf numFmtId="0" fontId="0" fillId="0" borderId="25" xfId="0" applyBorder="true"/>
    <xf numFmtId="10" fontId="113" fillId="30" borderId="25" xfId="0" applyFill="true" applyFont="true" applyNumberFormat="true" applyBorder="true"/>
    <xf numFmtId="0" fontId="114" fillId="24" borderId="0" xfId="0" applyFill="true" applyFont="true"/>
    <xf numFmtId="0" fontId="115" fillId="26" borderId="0" xfId="0" applyFill="true" applyFont="true"/>
    <xf numFmtId="0" fontId="116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17" fillId="30" borderId="25" xfId="0" applyFill="true" applyFont="true" applyBorder="true"/>
    <xf numFmtId="0" fontId="0" fillId="0" borderId="25" xfId="0" applyBorder="true"/>
    <xf numFmtId="10" fontId="118" fillId="30" borderId="25" xfId="0" applyFill="true" applyFont="true" applyNumberFormat="true" applyBorder="true"/>
    <xf numFmtId="0" fontId="119" fillId="24" borderId="0" xfId="0" applyFill="true" applyFont="true"/>
    <xf numFmtId="0" fontId="120" fillId="26" borderId="0" xfId="0" applyFill="true" applyFont="true"/>
    <xf numFmtId="0" fontId="121" fillId="28" borderId="0" xfId="0" applyFill="true" applyFont="true"/>
    <xf numFmtId="0" fontId="0" fillId="0" borderId="25" xfId="0" applyBorder="true">
      <alignment horizontal="right"/>
    </xf>
    <xf numFmtId="10" fontId="0" fillId="0" borderId="25" xfId="0" applyNumberFormat="true" applyBorder="true"/>
    <xf numFmtId="0" fontId="122" fillId="30" borderId="25" xfId="0" applyFill="true" applyFont="true" applyBorder="true"/>
    <xf numFmtId="0" fontId="0" fillId="0" borderId="25" xfId="0" applyBorder="true"/>
    <xf numFmtId="10" fontId="123" fillId="30" borderId="25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70266">
        <pm:charStyle Id="1" fontId="0" name="Normal"/>
      </pm:charStyles>
      <pm:colors xmlns:pm="smNativeData" count="6" id="1542770266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70266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Ws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Ws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Ws70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70266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70266" l="56" r="56" t="56" vertical="0"/>
        <pm:footer xmlns:pm="smNativeData" b="56" borderId="0" fillId="0" id="1542770266" l="56" r="56" t="56" vertical="2"/>
        <pm:paperBin xmlns:pm="smNativeData" Id="0" id="1542770266" type="0" value="0"/>
        <pm:paperBin xmlns:pm="smNativeData" Id="1" id="1542770266" type="0" value="0"/>
      </ext>
    </extLst>
  </headerFooter>
  <extLst>
    <ext uri="smNativeData">
      <pm:sheetPrefs xmlns:pm="smNativeData" day="15427702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9"/>
  <sheetViews>
    <sheetView tabSelected="1" view="normal" workbookViewId="0" zoomScale="85">
      <pane activePane="bottomRight" state="frozen" topLeftCell="I20" xSplit="7" ySplit="1"/>
      <selection activeCell="I34" pane="bottomRight" sqref="I34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3" t="s">
        <v>333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r="3" spans="1:25">
      <c r="A3" s="394" t="s">
        <v>54</v>
      </c>
      <c r="B3" s="394" t="s">
        <v>54</v>
      </c>
      <c r="C3" s="394" t="s">
        <v>54</v>
      </c>
      <c r="D3" s="394" t="s">
        <v>54</v>
      </c>
      <c r="E3" s="394" t="s">
        <v>54</v>
      </c>
      <c r="F3" s="394" t="s">
        <v>54</v>
      </c>
      <c r="G3" s="394" t="s">
        <v>333</v>
      </c>
      <c r="H3" s="394" t="s">
        <v>328</v>
      </c>
      <c r="I3" s="394" t="s">
        <v>55</v>
      </c>
      <c r="J3" s="394" t="s">
        <v>56</v>
      </c>
      <c r="K3" s="394" t="str">
        <f>_XLFN.IFERROR(VLOOKUP(J3,Keyword!$C$2:$D$533,2,FALSE),"")</f>
        <v>Go to the specified URL
- Value 1(*): URL of the web page to be opened</v>
      </c>
      <c r="L3" s="394" t="s">
        <v>54</v>
      </c>
      <c r="M3" s="394" t="s">
        <v>54</v>
      </c>
      <c r="N3" s="394" t="s">
        <v>57</v>
      </c>
      <c r="O3" s="394" t="s">
        <v>54</v>
      </c>
      <c r="P3" s="394" t="s">
        <v>54</v>
      </c>
      <c r="Q3" s="394" t="s">
        <v>54</v>
      </c>
      <c r="R3" s="394" t="s">
        <v>54</v>
      </c>
      <c r="S3" s="394" t="s">
        <v>54</v>
      </c>
      <c r="T3" s="394" t="s">
        <v>54</v>
      </c>
      <c r="U3" s="394" t="s">
        <v>54</v>
      </c>
      <c r="V3" s="394" t="s">
        <v>54</v>
      </c>
      <c r="W3" s="394" t="s">
        <v>54</v>
      </c>
      <c r="X3" s="394" t="s">
        <v>54</v>
      </c>
      <c r="Y3" s="394" t="s">
        <v>54</v>
      </c>
    </row>
    <row r="4" spans="1:25">
      <c r="A4" s="397" t="s">
        <v>49</v>
      </c>
      <c r="B4" s="394"/>
      <c r="C4" s="396" t="s">
        <v>58</v>
      </c>
      <c r="D4" s="394" t="s">
        <v>59</v>
      </c>
      <c r="E4" s="394"/>
      <c r="F4" s="394" t="s">
        <v>53</v>
      </c>
      <c r="G4" s="421" t="s">
        <v>333</v>
      </c>
      <c r="H4" s="394"/>
      <c r="I4" s="394"/>
      <c r="J4" s="394"/>
      <c r="K4" s="394"/>
      <c r="L4" s="394"/>
      <c r="M4" s="394"/>
      <c r="N4" s="394"/>
      <c r="O4" s="394"/>
      <c r="P4" s="394"/>
      <c r="Q4" s="394"/>
      <c r="R4" s="394"/>
      <c r="S4" s="394"/>
      <c r="T4" s="394"/>
      <c r="U4" s="394"/>
      <c r="V4" s="394"/>
      <c r="W4" s="394"/>
      <c r="X4" s="394"/>
      <c r="Y4" s="394"/>
    </row>
    <row r="5" spans="1:25">
      <c r="A5" s="394" t="s">
        <v>54</v>
      </c>
      <c r="B5" s="394" t="s">
        <v>54</v>
      </c>
      <c r="C5" s="394" t="s">
        <v>54</v>
      </c>
      <c r="D5" s="394" t="s">
        <v>54</v>
      </c>
      <c r="E5" s="394" t="s">
        <v>54</v>
      </c>
      <c r="F5" s="394" t="s">
        <v>54</v>
      </c>
      <c r="G5" s="394" t="s">
        <v>333</v>
      </c>
      <c r="H5" s="394" t="s">
        <v>328</v>
      </c>
      <c r="I5" s="394" t="s">
        <v>60</v>
      </c>
      <c r="J5" s="394" t="s">
        <v>61</v>
      </c>
      <c r="K5" s="394" t="str">
        <f>_XLFN.IFERROR(VLOOKUP(J5,Keyword!$C$2:$D$533,2,FALSE),"")</f>
        <v>Input value into an input field
- Locator(*): Locator of the element to be inputted
- Value 1: The text to type in</v>
      </c>
      <c r="L5" s="394" t="s">
        <v>54</v>
      </c>
      <c r="M5" s="394" t="s">
        <v>62</v>
      </c>
      <c r="N5" s="394" t="s">
        <v>63</v>
      </c>
      <c r="O5" s="394" t="s">
        <v>54</v>
      </c>
      <c r="P5" s="394" t="s">
        <v>54</v>
      </c>
      <c r="Q5" s="394" t="s">
        <v>54</v>
      </c>
      <c r="R5" s="394" t="s">
        <v>54</v>
      </c>
      <c r="S5" s="394" t="s">
        <v>54</v>
      </c>
      <c r="T5" s="394" t="s">
        <v>54</v>
      </c>
      <c r="U5" s="394" t="s">
        <v>54</v>
      </c>
      <c r="V5" s="394" t="s">
        <v>54</v>
      </c>
      <c r="W5" s="394" t="s">
        <v>54</v>
      </c>
      <c r="X5" s="394" t="s">
        <v>54</v>
      </c>
      <c r="Y5" s="394" t="s">
        <v>54</v>
      </c>
    </row>
    <row r="6" spans="1:25">
      <c r="A6" s="394" t="s">
        <v>54</v>
      </c>
      <c r="B6" s="394" t="s">
        <v>54</v>
      </c>
      <c r="C6" s="394" t="s">
        <v>54</v>
      </c>
      <c r="D6" s="394" t="s">
        <v>54</v>
      </c>
      <c r="E6" s="394" t="s">
        <v>54</v>
      </c>
      <c r="F6" s="394" t="s">
        <v>54</v>
      </c>
      <c r="G6" s="394" t="s">
        <v>333</v>
      </c>
      <c r="H6" s="394" t="s">
        <v>329</v>
      </c>
      <c r="I6" s="394" t="s">
        <v>64</v>
      </c>
      <c r="J6" s="394" t="s">
        <v>61</v>
      </c>
      <c r="K6" s="394" t="str">
        <f>_XLFN.IFERROR(VLOOKUP(J6,Keyword!$C$2:$D$533,2,FALSE),"")</f>
        <v>Input value into an input field
- Locator(*): Locator of the element to be inputted
- Value 1: The text to type in</v>
      </c>
      <c r="L6" s="394" t="s">
        <v>54</v>
      </c>
      <c r="M6" s="394" t="s">
        <v>65</v>
      </c>
      <c r="N6" s="394" t="s">
        <v>66</v>
      </c>
      <c r="O6" s="394" t="s">
        <v>54</v>
      </c>
      <c r="P6" s="394" t="s">
        <v>54</v>
      </c>
      <c r="Q6" s="394" t="s">
        <v>54</v>
      </c>
      <c r="R6" s="394" t="s">
        <v>54</v>
      </c>
      <c r="S6" s="394" t="s">
        <v>54</v>
      </c>
      <c r="T6" s="394" t="s">
        <v>54</v>
      </c>
      <c r="U6" s="394" t="s">
        <v>54</v>
      </c>
      <c r="V6" s="394" t="s">
        <v>54</v>
      </c>
      <c r="W6" s="394" t="s">
        <v>54</v>
      </c>
      <c r="X6" s="394" t="s">
        <v>54</v>
      </c>
      <c r="Y6" s="394" t="s">
        <v>54</v>
      </c>
    </row>
    <row r="7" spans="1:25">
      <c r="A7" s="394" t="s">
        <v>54</v>
      </c>
      <c r="B7" s="394" t="s">
        <v>54</v>
      </c>
      <c r="C7" s="394" t="s">
        <v>54</v>
      </c>
      <c r="D7" s="394" t="s">
        <v>54</v>
      </c>
      <c r="E7" s="394" t="s">
        <v>54</v>
      </c>
      <c r="F7" s="394" t="s">
        <v>54</v>
      </c>
      <c r="G7" s="394" t="s">
        <v>333</v>
      </c>
      <c r="H7" s="394" t="s">
        <v>330</v>
      </c>
      <c r="I7" s="394" t="s">
        <v>67</v>
      </c>
      <c r="J7" s="394" t="s">
        <v>68</v>
      </c>
      <c r="K7" s="394" t="str">
        <f>_XLFN.IFERROR(VLOOKUP(J7,Keyword!$C$2:$D$533,2,FALSE),"")</f>
        <v>Click on the given element
- Locator(*): Locator of the element to be clicked</v>
      </c>
      <c r="L7" s="394" t="s">
        <v>54</v>
      </c>
      <c r="M7" s="394" t="s">
        <v>69</v>
      </c>
      <c r="N7" s="394" t="s">
        <v>54</v>
      </c>
      <c r="O7" s="394" t="s">
        <v>54</v>
      </c>
      <c r="P7" s="394" t="s">
        <v>54</v>
      </c>
      <c r="Q7" s="394" t="s">
        <v>54</v>
      </c>
      <c r="R7" s="394" t="s">
        <v>54</v>
      </c>
      <c r="S7" s="394" t="s">
        <v>54</v>
      </c>
      <c r="T7" s="394" t="s">
        <v>54</v>
      </c>
      <c r="U7" s="394" t="s">
        <v>54</v>
      </c>
      <c r="V7" s="394" t="s">
        <v>54</v>
      </c>
      <c r="W7" s="394" t="s">
        <v>54</v>
      </c>
      <c r="X7" s="394" t="s">
        <v>54</v>
      </c>
      <c r="Y7" s="394" t="s">
        <v>54</v>
      </c>
    </row>
    <row r="8" spans="1:25">
      <c r="A8" s="394" t="s">
        <v>54</v>
      </c>
      <c r="B8" s="394" t="s">
        <v>54</v>
      </c>
      <c r="C8" s="394" t="s">
        <v>54</v>
      </c>
      <c r="D8" s="394" t="s">
        <v>54</v>
      </c>
      <c r="E8" s="394" t="s">
        <v>54</v>
      </c>
      <c r="F8" s="394" t="s">
        <v>54</v>
      </c>
      <c r="G8" s="394" t="s">
        <v>333</v>
      </c>
      <c r="H8" s="394" t="s">
        <v>331</v>
      </c>
      <c r="I8" s="394" t="s">
        <v>70</v>
      </c>
      <c r="J8" s="394" t="s">
        <v>71</v>
      </c>
      <c r="K8" s="394" t="str">
        <f>_XLFN.IFERROR(VLOOKUP(J8,Keyword!$C$2:$D$533,2,FALSE),"")</f>
        <v>Wait until JQUERY AJAX request is finished
- Value 1: Maximum of waiting time in seconds. Default is 60(s)</v>
      </c>
      <c r="L8" s="394" t="s">
        <v>54</v>
      </c>
      <c r="M8" s="394" t="s">
        <v>54</v>
      </c>
      <c r="N8" s="394" t="s">
        <v>54</v>
      </c>
      <c r="O8" s="394" t="s">
        <v>54</v>
      </c>
      <c r="P8" s="394" t="s">
        <v>54</v>
      </c>
      <c r="Q8" s="394" t="s">
        <v>54</v>
      </c>
      <c r="R8" s="394" t="s">
        <v>54</v>
      </c>
      <c r="S8" s="394" t="s">
        <v>54</v>
      </c>
      <c r="T8" s="394" t="s">
        <v>54</v>
      </c>
      <c r="U8" s="394" t="s">
        <v>54</v>
      </c>
      <c r="V8" s="394" t="s">
        <v>54</v>
      </c>
      <c r="W8" s="394" t="s">
        <v>54</v>
      </c>
      <c r="X8" s="394" t="s">
        <v>54</v>
      </c>
      <c r="Y8" s="394" t="s">
        <v>54</v>
      </c>
    </row>
    <row r="9" spans="1:25">
      <c r="A9" s="397" t="s">
        <v>49</v>
      </c>
      <c r="B9" s="394"/>
      <c r="C9" s="396" t="s">
        <v>72</v>
      </c>
      <c r="D9" s="394" t="s">
        <v>59</v>
      </c>
      <c r="E9" s="394"/>
      <c r="F9" s="394" t="s">
        <v>73</v>
      </c>
      <c r="G9" s="394"/>
      <c r="H9" s="394"/>
      <c r="I9" s="394"/>
      <c r="J9" s="394"/>
      <c r="K9" s="394" t="str">
        <f>_XLFN.IFERROR(VLOOKUP(J9,Keyword!$C$2:$D$533,2,FALSE),"")</f>
        <v/>
      </c>
      <c r="L9" s="394"/>
      <c r="M9" s="394"/>
      <c r="N9" s="394"/>
      <c r="O9" s="394"/>
      <c r="P9" s="394"/>
      <c r="Q9" s="394"/>
      <c r="R9" s="394"/>
      <c r="S9" s="394"/>
      <c r="T9" s="394"/>
      <c r="U9" s="394"/>
      <c r="V9" s="394"/>
      <c r="W9" s="394"/>
      <c r="X9" s="394"/>
      <c r="Y9" s="394"/>
    </row>
    <row r="10" spans="1:25">
      <c r="A10" s="397"/>
      <c r="B10" s="394"/>
      <c r="C10" s="396"/>
      <c r="D10" s="394"/>
      <c r="E10" s="394"/>
      <c r="F10" s="394"/>
      <c r="G10" s="394" t="s">
        <v>332</v>
      </c>
      <c r="H10" s="394" t="n">
        <v>1</v>
      </c>
      <c r="I10" s="394"/>
      <c r="J10" s="394" t="s">
        <v>74</v>
      </c>
      <c r="K10" s="394" t="str">
        <f>_XLFN.IFERROR(VLOOKUP(J10,Keyword!$C$2:$D$533,2,FALSE),"")</f>
        <v>Select the local file
- Value 1(*): Local file path is defined in [application.properties]</v>
      </c>
      <c r="L10" s="394"/>
      <c r="M10" s="394" t="s">
        <v>75</v>
      </c>
      <c r="N10" s="394" t="s">
        <v>76</v>
      </c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7"/>
      <c r="B11" s="394"/>
      <c r="C11" s="396"/>
      <c r="D11" s="394"/>
      <c r="E11" s="394"/>
      <c r="F11" s="394"/>
      <c r="G11" s="394" t="s">
        <v>332</v>
      </c>
      <c r="H11" s="394"/>
      <c r="I11" s="394"/>
      <c r="J11" s="394" t="s">
        <v>77</v>
      </c>
      <c r="K11" s="394" t="str">
        <f>_XLFN.IFERROR(VLOOKUP(J11,Keyword!$C$2:$D$533,2,FALSE),"")</f>
        <v>Delay the execution of the automated testing for the specified time
- Value 1: Pausing time in seconds. Default is 5(s)</v>
      </c>
      <c r="L11" s="394"/>
      <c r="M11" s="394"/>
      <c r="N11" s="394" t="n">
        <v>10</v>
      </c>
      <c r="O11" s="394"/>
      <c r="P11" s="394"/>
      <c r="Q11" s="394"/>
      <c r="R11" s="394"/>
      <c r="S11" s="394"/>
      <c r="T11" s="394"/>
      <c r="U11" s="394"/>
      <c r="V11" s="394"/>
      <c r="W11" s="394"/>
      <c r="X11" s="394"/>
      <c r="Y11" s="394"/>
    </row>
    <row r="12" spans="1:25">
      <c r="A12" s="397" t="s">
        <v>49</v>
      </c>
      <c r="B12" s="394"/>
      <c r="C12" s="396" t="s">
        <v>78</v>
      </c>
      <c r="D12" s="394" t="s">
        <v>59</v>
      </c>
      <c r="E12" s="394"/>
      <c r="F12" s="394" t="s">
        <v>73</v>
      </c>
      <c r="G12" s="394"/>
      <c r="H12" s="394"/>
      <c r="I12" s="394"/>
      <c r="J12" s="394"/>
      <c r="K12" s="394" t="str">
        <f>_XLFN.IFERROR(VLOOKUP(J12,Keyword!$C$2:$D$533,2,FALSE),"")</f>
        <v/>
      </c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7"/>
      <c r="B13" s="394"/>
      <c r="C13" s="396"/>
      <c r="D13" s="394"/>
      <c r="E13" s="394"/>
      <c r="F13" s="394"/>
      <c r="G13" s="394" t="s">
        <v>332</v>
      </c>
      <c r="H13" s="394" t="n">
        <v>1</v>
      </c>
      <c r="I13" s="394" t="s">
        <v>79</v>
      </c>
      <c r="J13" s="394" t="s">
        <v>80</v>
      </c>
      <c r="K13" s="394" t="str">
        <f>_XLFN.IFERROR(VLOOKUP(J13,Keyword!$C$2:$D$533,2,FALSE),"")</f>
        <v>Verify text of label with the result of executing SQL Statement
- Locator(*): Locator of the label to be verified
- Value 1(*): The SQL Statement to be executed (defined in [sqlStatement.properties]). The result of executing SQL Statement will be compared to the text of label</v>
      </c>
      <c r="L13" s="394"/>
      <c r="M13" s="394" t="s">
        <v>81</v>
      </c>
      <c r="N13" s="394" t="s">
        <v>82</v>
      </c>
      <c r="O13" s="394"/>
      <c r="P13" s="394"/>
      <c r="Q13" s="394"/>
      <c r="R13" s="394"/>
      <c r="S13" s="394"/>
      <c r="T13" s="394"/>
      <c r="U13" s="394"/>
      <c r="V13" s="394"/>
      <c r="W13" s="394"/>
      <c r="X13" s="394"/>
      <c r="Y13" s="394"/>
    </row>
    <row r="14" spans="1:25">
      <c r="A14" s="397" t="s">
        <v>49</v>
      </c>
      <c r="B14" s="394"/>
      <c r="C14" s="396" t="s">
        <v>83</v>
      </c>
      <c r="D14" s="394" t="s">
        <v>84</v>
      </c>
      <c r="E14" s="394"/>
      <c r="F14" s="394" t="s">
        <v>53</v>
      </c>
      <c r="G14" s="430" t="s">
        <v>334</v>
      </c>
      <c r="H14" s="394"/>
      <c r="I14" s="394"/>
      <c r="J14" s="394"/>
      <c r="K14" s="394" t="str">
        <f>_XLFN.IFERROR(VLOOKUP(J14,Keyword!$C$2:$D$533,2,FALSE),"")</f>
        <v/>
      </c>
      <c r="L14" s="394"/>
      <c r="M14" s="394"/>
      <c r="N14" s="394"/>
      <c r="O14" s="394"/>
      <c r="P14" s="394"/>
      <c r="Q14" s="394"/>
      <c r="R14" s="394"/>
      <c r="S14" s="394"/>
      <c r="T14" s="394"/>
      <c r="U14" s="394"/>
      <c r="V14" s="394"/>
      <c r="W14" s="394"/>
      <c r="X14" s="394"/>
      <c r="Y14" s="394"/>
    </row>
    <row r="15" spans="1:25">
      <c r="A15" s="397" t="s">
        <v>54</v>
      </c>
      <c r="B15" s="394" t="s">
        <v>54</v>
      </c>
      <c r="C15" s="396" t="s">
        <v>54</v>
      </c>
      <c r="D15" s="394" t="s">
        <v>54</v>
      </c>
      <c r="E15" s="394" t="s">
        <v>54</v>
      </c>
      <c r="F15" s="394" t="s">
        <v>54</v>
      </c>
      <c r="G15" s="394" t="s">
        <v>333</v>
      </c>
      <c r="H15" s="394" t="s">
        <v>328</v>
      </c>
      <c r="I15" s="394" t="s">
        <v>85</v>
      </c>
      <c r="J15" s="394" t="s">
        <v>61</v>
      </c>
      <c r="K15" s="394" t="str">
        <f>_XLFN.IFERROR(VLOOKUP(J15,Keyword!$C$2:$D$533,2,FALSE),"")</f>
        <v>Input value into an input field
- Locator(*): Locator of the element to be inputted
- Value 1: The text to type in</v>
      </c>
      <c r="L15" s="394" t="s">
        <v>54</v>
      </c>
      <c r="M15" s="394" t="s">
        <v>86</v>
      </c>
      <c r="N15" s="394" t="s">
        <v>87</v>
      </c>
      <c r="O15" s="394" t="s">
        <v>54</v>
      </c>
      <c r="P15" s="394" t="s">
        <v>54</v>
      </c>
      <c r="Q15" s="394" t="s">
        <v>54</v>
      </c>
      <c r="R15" s="394" t="s">
        <v>54</v>
      </c>
      <c r="S15" s="394" t="s">
        <v>54</v>
      </c>
      <c r="T15" s="394" t="s">
        <v>54</v>
      </c>
      <c r="U15" s="394" t="s">
        <v>54</v>
      </c>
      <c r="V15" s="394" t="s">
        <v>54</v>
      </c>
      <c r="W15" s="394" t="s">
        <v>54</v>
      </c>
      <c r="X15" s="394" t="s">
        <v>54</v>
      </c>
      <c r="Y15" s="394" t="s">
        <v>54</v>
      </c>
    </row>
    <row r="16" spans="1:25">
      <c r="A16" s="394" t="s">
        <v>54</v>
      </c>
      <c r="B16" s="394" t="s">
        <v>54</v>
      </c>
      <c r="C16" s="394" t="s">
        <v>54</v>
      </c>
      <c r="D16" s="394" t="s">
        <v>54</v>
      </c>
      <c r="E16" s="394" t="s">
        <v>54</v>
      </c>
      <c r="F16" s="394" t="s">
        <v>54</v>
      </c>
      <c r="G16" s="394" t="s">
        <v>334</v>
      </c>
      <c r="H16" s="394" t="s">
        <v>329</v>
      </c>
      <c r="I16" s="394" t="s">
        <v>84</v>
      </c>
      <c r="J16" s="394" t="s">
        <v>88</v>
      </c>
      <c r="K16" s="394" t="str">
        <f>_XLFN.IFERROR(VLOOKUP(J16,Keyword!$C$2:$D$533,2,FALSE),"")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16" s="394" t="s">
        <v>54</v>
      </c>
      <c r="M16" s="394" t="s">
        <v>89</v>
      </c>
      <c r="N16" s="394" t="s">
        <v>82</v>
      </c>
      <c r="O16" s="394" t="s">
        <v>54</v>
      </c>
      <c r="P16" s="394" t="s">
        <v>54</v>
      </c>
      <c r="Q16" s="394" t="s">
        <v>54</v>
      </c>
      <c r="R16" s="394" t="s">
        <v>54</v>
      </c>
      <c r="S16" s="394" t="s">
        <v>54</v>
      </c>
      <c r="T16" s="394" t="s">
        <v>54</v>
      </c>
      <c r="U16" s="394" t="s">
        <v>54</v>
      </c>
      <c r="V16" s="394" t="s">
        <v>54</v>
      </c>
      <c r="W16" s="394" t="s">
        <v>54</v>
      </c>
      <c r="X16" s="394" t="s">
        <v>335</v>
      </c>
      <c r="Y16" s="394" t="s">
        <v>336</v>
      </c>
    </row>
    <row r="17" spans="1:25">
      <c r="A17" s="397" t="s">
        <v>49</v>
      </c>
      <c r="B17" s="394"/>
      <c r="C17" s="396" t="s">
        <v>83</v>
      </c>
      <c r="D17" s="394" t="s">
        <v>90</v>
      </c>
      <c r="E17" s="394"/>
      <c r="F17" s="394" t="s">
        <v>53</v>
      </c>
      <c r="G17" s="437" t="s">
        <v>333</v>
      </c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54</v>
      </c>
      <c r="B18" s="394" t="s">
        <v>54</v>
      </c>
      <c r="C18" s="396" t="s">
        <v>54</v>
      </c>
      <c r="D18" s="394" t="s">
        <v>54</v>
      </c>
      <c r="E18" s="394" t="s">
        <v>54</v>
      </c>
      <c r="F18" s="394" t="s">
        <v>54</v>
      </c>
      <c r="G18" s="394" t="s">
        <v>333</v>
      </c>
      <c r="H18" s="394" t="s">
        <v>328</v>
      </c>
      <c r="I18" s="394" t="s">
        <v>91</v>
      </c>
      <c r="J18" s="394" t="s">
        <v>68</v>
      </c>
      <c r="K18" s="394" t="str">
        <f>_XLFN.IFERROR(VLOOKUP(J18,Keyword!$C$2:$D$533,2,FALSE),"")</f>
        <v>Click on the given element
- Locator(*): Locator of the element to be clicked</v>
      </c>
      <c r="L18" s="394" t="s">
        <v>54</v>
      </c>
      <c r="M18" s="394" t="s">
        <v>92</v>
      </c>
      <c r="N18" s="394" t="s">
        <v>54</v>
      </c>
      <c r="O18" s="394" t="s">
        <v>54</v>
      </c>
      <c r="P18" s="394" t="s">
        <v>54</v>
      </c>
      <c r="Q18" s="394" t="s">
        <v>54</v>
      </c>
      <c r="R18" s="394" t="s">
        <v>54</v>
      </c>
      <c r="S18" s="394" t="s">
        <v>54</v>
      </c>
      <c r="T18" s="394" t="s">
        <v>54</v>
      </c>
      <c r="U18" s="394" t="s">
        <v>54</v>
      </c>
      <c r="V18" s="394" t="s">
        <v>54</v>
      </c>
      <c r="W18" s="394" t="s">
        <v>54</v>
      </c>
      <c r="X18" s="394" t="s">
        <v>54</v>
      </c>
      <c r="Y18" s="394" t="s">
        <v>54</v>
      </c>
    </row>
    <row r="19" spans="1:25">
      <c r="A19" s="397" t="s">
        <v>54</v>
      </c>
      <c r="B19" s="394" t="s">
        <v>54</v>
      </c>
      <c r="C19" s="396" t="s">
        <v>54</v>
      </c>
      <c r="D19" s="394" t="s">
        <v>54</v>
      </c>
      <c r="E19" s="394" t="s">
        <v>54</v>
      </c>
      <c r="F19" s="394" t="s">
        <v>54</v>
      </c>
      <c r="G19" s="394" t="s">
        <v>333</v>
      </c>
      <c r="H19" s="394" t="s">
        <v>329</v>
      </c>
      <c r="I19" s="394" t="s">
        <v>90</v>
      </c>
      <c r="J19" s="394" t="s">
        <v>93</v>
      </c>
      <c r="K19" s="394" t="str">
        <f>_XLFN.IFERROR(VLOOKUP(J19,Keyword!$C$2:$D$533,2,FALSE),"")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19" s="394" t="s">
        <v>54</v>
      </c>
      <c r="M19" s="394" t="s">
        <v>94</v>
      </c>
      <c r="N19" s="394" t="s">
        <v>50</v>
      </c>
      <c r="O19" s="394" t="s">
        <v>54</v>
      </c>
      <c r="P19" s="394" t="s">
        <v>54</v>
      </c>
      <c r="Q19" s="394" t="s">
        <v>54</v>
      </c>
      <c r="R19" s="394" t="s">
        <v>54</v>
      </c>
      <c r="S19" s="394" t="s">
        <v>54</v>
      </c>
      <c r="T19" s="394" t="s">
        <v>54</v>
      </c>
      <c r="U19" s="394" t="s">
        <v>54</v>
      </c>
      <c r="V19" s="394" t="s">
        <v>54</v>
      </c>
      <c r="W19" s="394" t="s">
        <v>54</v>
      </c>
      <c r="X19" s="394" t="s">
        <v>54</v>
      </c>
      <c r="Y19" s="394" t="s">
        <v>54</v>
      </c>
    </row>
    <row r="20" spans="1:25">
      <c r="A20" s="397" t="s">
        <v>49</v>
      </c>
      <c r="B20" s="394"/>
      <c r="C20" s="396" t="s">
        <v>83</v>
      </c>
      <c r="D20" s="394" t="s">
        <v>95</v>
      </c>
      <c r="E20" s="394"/>
      <c r="F20" s="394" t="s">
        <v>53</v>
      </c>
      <c r="G20" s="446" t="s">
        <v>334</v>
      </c>
      <c r="H20" s="394"/>
      <c r="I20" s="394"/>
      <c r="J20" s="394"/>
      <c r="K20" s="394" t="str">
        <f>_XLFN.IFERROR(VLOOKUP(J20,Keyword!$C$2:$D$533,2,FALSE),"")</f>
        <v/>
      </c>
      <c r="L20" s="394"/>
      <c r="M20" s="394"/>
      <c r="N20" s="394"/>
      <c r="O20" s="394"/>
      <c r="P20" s="394"/>
      <c r="Q20" s="394"/>
      <c r="R20" s="394"/>
      <c r="S20" s="394"/>
      <c r="T20" s="394"/>
      <c r="U20" s="394"/>
      <c r="V20" s="394"/>
      <c r="W20" s="394"/>
      <c r="X20" s="394"/>
      <c r="Y20" s="394"/>
    </row>
    <row r="21" spans="1:25">
      <c r="A21" s="397" t="s">
        <v>54</v>
      </c>
      <c r="B21" s="394" t="s">
        <v>54</v>
      </c>
      <c r="C21" s="396" t="s">
        <v>54</v>
      </c>
      <c r="D21" s="394" t="s">
        <v>54</v>
      </c>
      <c r="E21" s="394" t="s">
        <v>54</v>
      </c>
      <c r="F21" s="394" t="s">
        <v>54</v>
      </c>
      <c r="G21" s="394" t="s">
        <v>333</v>
      </c>
      <c r="H21" s="394" t="s">
        <v>54</v>
      </c>
      <c r="I21" s="394" t="s">
        <v>96</v>
      </c>
      <c r="J21" s="394" t="s">
        <v>97</v>
      </c>
      <c r="K21" s="394" t="str">
        <f>_XLFN.IFERROR(VLOOKUP(J21,Keyword!$C$2:$D$533,2,FALSE),"")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1" s="394" t="s">
        <v>54</v>
      </c>
      <c r="M21" s="394" t="s">
        <v>94</v>
      </c>
      <c r="N21" s="394" t="s">
        <v>98</v>
      </c>
      <c r="O21" s="394" t="s">
        <v>54</v>
      </c>
      <c r="P21" s="394" t="s">
        <v>54</v>
      </c>
      <c r="Q21" s="394" t="s">
        <v>54</v>
      </c>
      <c r="R21" s="394" t="s">
        <v>54</v>
      </c>
      <c r="S21" s="394" t="s">
        <v>54</v>
      </c>
      <c r="T21" s="394" t="s">
        <v>54</v>
      </c>
      <c r="U21" s="394" t="s">
        <v>54</v>
      </c>
      <c r="V21" s="394" t="s">
        <v>54</v>
      </c>
      <c r="W21" s="394" t="s">
        <v>54</v>
      </c>
      <c r="X21" s="394" t="s">
        <v>54</v>
      </c>
      <c r="Y21" s="394" t="s">
        <v>54</v>
      </c>
    </row>
    <row r="22" spans="1:25">
      <c r="A22" s="397" t="s">
        <v>54</v>
      </c>
      <c r="B22" s="394" t="s">
        <v>54</v>
      </c>
      <c r="C22" s="396" t="s">
        <v>54</v>
      </c>
      <c r="D22" s="394" t="s">
        <v>54</v>
      </c>
      <c r="E22" s="394" t="s">
        <v>54</v>
      </c>
      <c r="F22" s="394" t="s">
        <v>54</v>
      </c>
      <c r="G22" s="394" t="s">
        <v>333</v>
      </c>
      <c r="H22" s="394" t="s">
        <v>54</v>
      </c>
      <c r="I22" s="394" t="s">
        <v>99</v>
      </c>
      <c r="J22" s="394" t="s">
        <v>61</v>
      </c>
      <c r="K22" s="394" t="str">
        <f>_XLFN.IFERROR(VLOOKUP(J22,Keyword!$C$2:$D$533,2,FALSE),"")</f>
        <v>Input value into an input field
- Locator(*): Locator of the element to be inputted
- Value 1: The text to type in</v>
      </c>
      <c r="L22" s="394" t="s">
        <v>54</v>
      </c>
      <c r="M22" s="394" t="s">
        <v>100</v>
      </c>
      <c r="N22" s="394" t="s">
        <v>101</v>
      </c>
      <c r="O22" s="394" t="s">
        <v>54</v>
      </c>
      <c r="P22" s="394" t="s">
        <v>54</v>
      </c>
      <c r="Q22" s="394" t="s">
        <v>54</v>
      </c>
      <c r="R22" s="394" t="s">
        <v>54</v>
      </c>
      <c r="S22" s="394" t="s">
        <v>54</v>
      </c>
      <c r="T22" s="394" t="s">
        <v>54</v>
      </c>
      <c r="U22" s="394" t="s">
        <v>54</v>
      </c>
      <c r="V22" s="394" t="s">
        <v>54</v>
      </c>
      <c r="W22" s="394" t="s">
        <v>54</v>
      </c>
      <c r="X22" s="394" t="s">
        <v>54</v>
      </c>
      <c r="Y22" s="394" t="s">
        <v>54</v>
      </c>
    </row>
    <row r="23" spans="1:25">
      <c r="A23" s="397" t="s">
        <v>54</v>
      </c>
      <c r="B23" s="394" t="s">
        <v>54</v>
      </c>
      <c r="C23" s="396" t="s">
        <v>54</v>
      </c>
      <c r="D23" s="394" t="s">
        <v>54</v>
      </c>
      <c r="E23" s="394" t="s">
        <v>54</v>
      </c>
      <c r="F23" s="394" t="s">
        <v>54</v>
      </c>
      <c r="G23" s="394" t="s">
        <v>334</v>
      </c>
      <c r="H23" s="394" t="s">
        <v>329</v>
      </c>
      <c r="I23" s="394" t="s">
        <v>95</v>
      </c>
      <c r="J23" s="394" t="s">
        <v>93</v>
      </c>
      <c r="K23" s="394" t="str">
        <f>_XLFN.IFERROR(VLOOKUP(J23,Keyword!$C$2:$D$533,2,FALSE),"")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23" s="394" t="s">
        <v>54</v>
      </c>
      <c r="M23" s="394" t="s">
        <v>102</v>
      </c>
      <c r="N23" s="394" t="s">
        <v>82</v>
      </c>
      <c r="O23" s="394" t="s">
        <v>54</v>
      </c>
      <c r="P23" s="394" t="s">
        <v>54</v>
      </c>
      <c r="Q23" s="394" t="s">
        <v>54</v>
      </c>
      <c r="R23" s="394" t="s">
        <v>54</v>
      </c>
      <c r="S23" s="394" t="s">
        <v>54</v>
      </c>
      <c r="T23" s="394" t="s">
        <v>54</v>
      </c>
      <c r="U23" s="394" t="s">
        <v>54</v>
      </c>
      <c r="V23" s="394" t="s">
        <v>54</v>
      </c>
      <c r="W23" s="394" t="s">
        <v>54</v>
      </c>
      <c r="X23" s="394" t="s">
        <v>54</v>
      </c>
      <c r="Y23" s="394" t="s">
        <v>54</v>
      </c>
    </row>
    <row r="24" spans="1:25">
      <c r="A24" s="397" t="s">
        <v>49</v>
      </c>
      <c r="B24" s="394"/>
      <c r="C24" s="396" t="s">
        <v>83</v>
      </c>
      <c r="D24" s="394" t="s">
        <v>103</v>
      </c>
      <c r="E24" s="394"/>
      <c r="F24" s="394" t="s">
        <v>53</v>
      </c>
      <c r="G24" s="453" t="s">
        <v>333</v>
      </c>
      <c r="H24" s="394"/>
      <c r="I24" s="394"/>
      <c r="J24" s="394"/>
      <c r="K24" s="394" t="str">
        <f>_XLFN.IFERROR(VLOOKUP(J24,Keyword!$C$2:$D$533,2,FALSE),"")</f>
        <v/>
      </c>
      <c r="L24" s="394"/>
      <c r="M24" s="394"/>
      <c r="N24" s="394"/>
      <c r="O24" s="394"/>
      <c r="P24" s="394"/>
      <c r="Q24" s="394"/>
      <c r="R24" s="394"/>
      <c r="S24" s="394"/>
      <c r="T24" s="394"/>
      <c r="U24" s="394"/>
      <c r="V24" s="394"/>
      <c r="W24" s="394"/>
      <c r="X24" s="394"/>
      <c r="Y24" s="394"/>
    </row>
    <row r="25" spans="1:25">
      <c r="A25" s="397" t="s">
        <v>54</v>
      </c>
      <c r="B25" s="394" t="s">
        <v>54</v>
      </c>
      <c r="C25" s="396" t="s">
        <v>54</v>
      </c>
      <c r="D25" s="394" t="s">
        <v>54</v>
      </c>
      <c r="E25" s="394" t="s">
        <v>54</v>
      </c>
      <c r="F25" s="394" t="s">
        <v>54</v>
      </c>
      <c r="G25" s="394" t="s">
        <v>333</v>
      </c>
      <c r="H25" s="394" t="s">
        <v>54</v>
      </c>
      <c r="I25" s="394" t="s">
        <v>104</v>
      </c>
      <c r="J25" s="394" t="s">
        <v>61</v>
      </c>
      <c r="K25" s="394" t="str">
        <f>_XLFN.IFERROR(VLOOKUP(J25,Keyword!$C$2:$D$533,2,FALSE),"")</f>
        <v>Input value into an input field
- Locator(*): Locator of the element to be inputted
- Value 1: The text to type in</v>
      </c>
      <c r="L25" s="394" t="s">
        <v>54</v>
      </c>
      <c r="M25" s="394" t="s">
        <v>105</v>
      </c>
      <c r="N25" s="394" t="s">
        <v>106</v>
      </c>
      <c r="O25" s="394" t="s">
        <v>54</v>
      </c>
      <c r="P25" s="394" t="s">
        <v>54</v>
      </c>
      <c r="Q25" s="394" t="s">
        <v>54</v>
      </c>
      <c r="R25" s="394" t="s">
        <v>54</v>
      </c>
      <c r="S25" s="394" t="s">
        <v>54</v>
      </c>
      <c r="T25" s="394" t="s">
        <v>54</v>
      </c>
      <c r="U25" s="394" t="s">
        <v>54</v>
      </c>
      <c r="V25" s="394" t="s">
        <v>54</v>
      </c>
      <c r="W25" s="394" t="s">
        <v>54</v>
      </c>
      <c r="X25" s="394" t="s">
        <v>54</v>
      </c>
      <c r="Y25" s="394" t="s">
        <v>54</v>
      </c>
    </row>
    <row r="26" spans="1:25">
      <c r="A26" s="397" t="s">
        <v>54</v>
      </c>
      <c r="B26" s="394" t="s">
        <v>54</v>
      </c>
      <c r="C26" s="396" t="s">
        <v>54</v>
      </c>
      <c r="D26" s="394" t="s">
        <v>54</v>
      </c>
      <c r="E26" s="394" t="s">
        <v>54</v>
      </c>
      <c r="F26" s="394" t="s">
        <v>54</v>
      </c>
      <c r="G26" s="394" t="s">
        <v>333</v>
      </c>
      <c r="H26" s="394" t="s">
        <v>54</v>
      </c>
      <c r="I26" s="394" t="s">
        <v>107</v>
      </c>
      <c r="J26" s="394" t="s">
        <v>108</v>
      </c>
      <c r="K26" s="394" t="str">
        <f>_XLFN.IFERROR(VLOOKUP(J26,Keyword!$C$2:$D$533,2,FALSE),"")</f>
        <v>Press Tab key</v>
      </c>
      <c r="L26" s="394" t="s">
        <v>54</v>
      </c>
      <c r="M26" s="394" t="s">
        <v>54</v>
      </c>
      <c r="N26" s="394" t="s">
        <v>54</v>
      </c>
      <c r="O26" s="394" t="s">
        <v>54</v>
      </c>
      <c r="P26" s="394" t="s">
        <v>54</v>
      </c>
      <c r="Q26" s="394" t="s">
        <v>54</v>
      </c>
      <c r="R26" s="394" t="s">
        <v>54</v>
      </c>
      <c r="S26" s="394" t="s">
        <v>54</v>
      </c>
      <c r="T26" s="394" t="s">
        <v>54</v>
      </c>
      <c r="U26" s="394" t="s">
        <v>54</v>
      </c>
      <c r="V26" s="394" t="s">
        <v>54</v>
      </c>
      <c r="W26" s="394" t="s">
        <v>54</v>
      </c>
      <c r="X26" s="394" t="s">
        <v>54</v>
      </c>
      <c r="Y26" s="394" t="s">
        <v>54</v>
      </c>
    </row>
    <row r="27" spans="1:25">
      <c r="A27" s="397" t="s">
        <v>54</v>
      </c>
      <c r="B27" s="394" t="s">
        <v>54</v>
      </c>
      <c r="C27" s="396" t="s">
        <v>54</v>
      </c>
      <c r="D27" s="394" t="s">
        <v>54</v>
      </c>
      <c r="E27" s="394" t="s">
        <v>54</v>
      </c>
      <c r="F27" s="394" t="s">
        <v>54</v>
      </c>
      <c r="G27" s="394" t="s">
        <v>333</v>
      </c>
      <c r="H27" s="394" t="s">
        <v>54</v>
      </c>
      <c r="I27" s="394" t="s">
        <v>109</v>
      </c>
      <c r="J27" s="394" t="s">
        <v>71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 t="s">
        <v>54</v>
      </c>
      <c r="M27" s="394" t="s">
        <v>54</v>
      </c>
      <c r="N27" s="394" t="s">
        <v>54</v>
      </c>
      <c r="O27" s="394" t="s">
        <v>54</v>
      </c>
      <c r="P27" s="394" t="s">
        <v>54</v>
      </c>
      <c r="Q27" s="394" t="s">
        <v>54</v>
      </c>
      <c r="R27" s="394" t="s">
        <v>54</v>
      </c>
      <c r="S27" s="394" t="s">
        <v>54</v>
      </c>
      <c r="T27" s="394" t="s">
        <v>54</v>
      </c>
      <c r="U27" s="394" t="s">
        <v>54</v>
      </c>
      <c r="V27" s="394" t="s">
        <v>54</v>
      </c>
      <c r="W27" s="394" t="s">
        <v>54</v>
      </c>
      <c r="X27" s="394" t="s">
        <v>54</v>
      </c>
      <c r="Y27" s="394" t="s">
        <v>54</v>
      </c>
    </row>
    <row r="28" spans="1:25">
      <c r="A28" s="397" t="s">
        <v>54</v>
      </c>
      <c r="B28" s="394" t="s">
        <v>54</v>
      </c>
      <c r="C28" s="396" t="s">
        <v>54</v>
      </c>
      <c r="D28" s="394" t="s">
        <v>54</v>
      </c>
      <c r="E28" s="394" t="s">
        <v>54</v>
      </c>
      <c r="F28" s="394" t="s">
        <v>54</v>
      </c>
      <c r="G28" s="394" t="s">
        <v>333</v>
      </c>
      <c r="H28" s="394" t="s">
        <v>54</v>
      </c>
      <c r="I28" s="394" t="s">
        <v>103</v>
      </c>
      <c r="J28" s="394" t="s">
        <v>110</v>
      </c>
      <c r="K28" s="394" t="str">
        <f>_XLFN.IFERROR(VLOOKUP(J28,Keyword!$C$2:$D$533,2,FALSE),"")</f>
        <v>Verify text of label with specified value
- Locator(*): Locator of the label to be verified
- Value 1(*): The value will be compared to the text of label</v>
      </c>
      <c r="L28" s="394" t="s">
        <v>54</v>
      </c>
      <c r="M28" s="394" t="s">
        <v>111</v>
      </c>
      <c r="N28" s="394" t="s">
        <v>112</v>
      </c>
      <c r="O28" s="394" t="s">
        <v>54</v>
      </c>
      <c r="P28" s="394" t="s">
        <v>54</v>
      </c>
      <c r="Q28" s="394" t="s">
        <v>54</v>
      </c>
      <c r="R28" s="394" t="s">
        <v>54</v>
      </c>
      <c r="S28" s="394" t="s">
        <v>54</v>
      </c>
      <c r="T28" s="394" t="s">
        <v>54</v>
      </c>
      <c r="U28" s="394" t="s">
        <v>54</v>
      </c>
      <c r="V28" s="394" t="s">
        <v>54</v>
      </c>
      <c r="W28" s="394" t="s">
        <v>54</v>
      </c>
      <c r="X28" s="394" t="s">
        <v>54</v>
      </c>
      <c r="Y28" s="394" t="s">
        <v>54</v>
      </c>
    </row>
    <row r="29" spans="1:25">
      <c r="A29" s="408" t="s">
        <v>54</v>
      </c>
      <c r="B29" s="408" t="s">
        <v>54</v>
      </c>
      <c r="C29" s="409" t="s">
        <v>113</v>
      </c>
      <c r="D29" s="409" t="s">
        <v>54</v>
      </c>
      <c r="E29" s="409" t="s">
        <v>54</v>
      </c>
      <c r="F29" s="409" t="s">
        <v>53</v>
      </c>
      <c r="G29" s="408" t="s">
        <v>54</v>
      </c>
      <c r="H29" s="408" t="s">
        <v>54</v>
      </c>
      <c r="I29" s="408" t="s">
        <v>54</v>
      </c>
      <c r="J29" s="408"/>
      <c r="K29" s="408"/>
      <c r="L29" s="408" t="s">
        <v>54</v>
      </c>
      <c r="M29" s="408" t="s">
        <v>54</v>
      </c>
      <c r="N29" s="408" t="s">
        <v>54</v>
      </c>
      <c r="O29" s="408" t="s">
        <v>54</v>
      </c>
      <c r="P29" s="408" t="s">
        <v>54</v>
      </c>
      <c r="Q29" s="408" t="s">
        <v>54</v>
      </c>
      <c r="R29" s="408" t="s">
        <v>54</v>
      </c>
      <c r="S29" s="408" t="s">
        <v>54</v>
      </c>
      <c r="T29" s="408"/>
      <c r="U29" s="408"/>
      <c r="V29" s="408"/>
      <c r="W29" s="408"/>
      <c r="X29" s="408"/>
      <c r="Y29" s="408"/>
    </row>
  </sheetData>
  <autoFilter ref="A1:Y29"/>
  <dataValidations count="19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:J4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J10" type="list" view="0">
      <formula1>Keyword!$C$2:$C$500</formula1>
    </dataValidation>
    <dataValidation allowBlank="1" errorStyle="stop" operator="between" showInputMessage="1" sqref="J12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19" type="list" view="0">
      <formula1>Keyword!$C$2:$C$500</formula1>
    </dataValidation>
    <dataValidation allowBlank="1" errorStyle="stop" operator="between" showInputMessage="1" sqref="J20" type="list" view="0">
      <formula1>Keyword!$C$2:$C$500</formula1>
    </dataValidation>
    <dataValidation allowBlank="1" errorStyle="stop" operator="between" showInputMessage="1" sqref="J21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702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0266" l="56" r="56" t="56" vertical="0"/>
        <pm:footer xmlns:pm="smNativeData" b="56" borderId="0" fillId="0" id="1542770266" l="56" r="56" t="56" vertical="2"/>
        <pm:paperBin xmlns:pm="smNativeData" Id="0" id="1542770266" type="0" value="0"/>
        <pm:paperBin xmlns:pm="smNativeData" Id="1" id="1542770266" type="0" value="0"/>
      </ext>
    </extLst>
  </headerFooter>
  <extLst>
    <ext uri="smNativeData">
      <pm:sheetPrefs xmlns:pm="smNativeData" day="15427702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G4"/>
  <sheetViews>
    <sheetView view="normal" workbookViewId="0" zoomScale="85">
      <selection activeCell="F5" sqref="F5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4:5">
      <c r="D2" s="412" t="s">
        <v>50</v>
      </c>
      <c r="E2" s="410" t="s">
        <v>114</v>
      </c>
    </row>
    <row r="3" spans="5:5">
      <c r="E3" s="411" t="s">
        <v>98</v>
      </c>
    </row>
    <row r="4" spans="5:6">
      <c r="E4" s="411" t="s">
        <v>115</v>
      </c>
      <c r="F4" s="412" t="s">
        <v>50</v>
      </c>
    </row>
  </sheetData>
  <printOptions>
    <extLst>
      <ext uri="smNativeData">
        <pm:pageFlags xmlns:pm="smNativeData" autoHeightFooter="0" autoHeightHeader="0" fitToPageBoth="0" id="15427702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0266" l="56" r="56" t="56" vertical="0"/>
        <pm:footer xmlns:pm="smNativeData" b="56" borderId="0" fillId="0" id="1542770266" l="56" r="56" t="56" vertical="2"/>
        <pm:paperBin xmlns:pm="smNativeData" Id="0" id="1542770266" type="0" value="0"/>
        <pm:paperBin xmlns:pm="smNativeData" Id="1" id="1542770266" type="0" value="0"/>
      </ext>
    </extLst>
  </headerFooter>
  <extLst>
    <ext uri="smNativeData">
      <pm:sheetPrefs xmlns:pm="smNativeData" day="15427702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116</v>
      </c>
      <c r="G1" s="395" t="s">
        <v>338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117</v>
      </c>
      <c r="G2" s="395" t="s">
        <v>339</v>
      </c>
      <c r="H2" s="384"/>
      <c r="I2" s="384"/>
      <c r="J2" s="383"/>
    </row>
    <row customHeight="1" ht="15" r="3" spans="1:10">
      <c r="A3" s="381"/>
      <c r="B3" s="403" t="s">
        <v>118</v>
      </c>
      <c r="C3" s="403"/>
      <c r="D3" s="403"/>
      <c r="E3" s="403"/>
      <c r="F3" s="393" t="s">
        <v>119</v>
      </c>
      <c r="G3" s="395" t="s">
        <v>340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120</v>
      </c>
      <c r="I7" s="393" t="s">
        <v>121</v>
      </c>
      <c r="J7" s="383"/>
    </row>
    <row customHeight="1" ht="15" r="8" spans="1:10">
      <c r="A8" s="381"/>
      <c r="B8" s="404" t="s">
        <v>122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120</v>
      </c>
      <c r="D11" s="393" t="s">
        <v>121</v>
      </c>
      <c r="E11" s="393" t="s">
        <v>123</v>
      </c>
      <c r="F11" s="393" t="s">
        <v>124</v>
      </c>
      <c r="G11" s="393" t="s">
        <v>125</v>
      </c>
      <c r="H11" s="393" t="s">
        <v>126</v>
      </c>
      <c r="I11" s="393" t="s">
        <v>127</v>
      </c>
      <c r="J11" s="381"/>
    </row>
    <row customHeight="1" ht="13.50" r="12" spans="1:10">
      <c r="A12" s="385"/>
      <c r="B12" s="523" t="s">
        <v>49</v>
      </c>
      <c r="C12" s="464">
        <f>COUNTIFS(TC!$A$2:$A$65000,B12,TC!$G$2:$G$65000,"PASS")</f>
      </c>
      <c r="D12" s="472">
        <f>COUNTIFS(TC!$A$2:$A$65000,B12,TC!$G$2:$G$65000,"FAIL")</f>
      </c>
      <c r="E12" s="480">
        <f>COUNTIFS(TC!$A$2:$A$65000,B12,TC!$G$2:$G$65000,"SKIP")</f>
      </c>
      <c r="F12" s="488">
        <f>COUNTIF(TC!$A$2:$A$64788,B12)</f>
      </c>
      <c r="G12" s="497">
        <f>IF(F12=0,0,(C12+D12)/F12)</f>
      </c>
      <c r="H12" s="505">
        <f>IF((F12-E12)=0,0,C12/(F12-E12))</f>
      </c>
      <c r="I12" s="513">
        <f>IF((F12-E12)=0,0,D12/(F12-E12))</f>
      </c>
      <c r="J12" s="381"/>
    </row>
    <row customHeight="1" ht="13.50" r="13" spans="1:10">
      <c r="A13" s="385"/>
      <c r="B13" s="530" t="s">
        <v>337</v>
      </c>
      <c r="C13" s="538">
        <f>SUM(C12:C12)</f>
      </c>
      <c r="D13" s="546">
        <f>SUM(D12:D12)</f>
      </c>
      <c r="E13" s="554">
        <f>SUM(E12:E12)</f>
      </c>
      <c r="F13" s="562">
        <f>SUM(F12:F12)</f>
      </c>
      <c r="G13" s="572">
        <f>IF(F13=0,0,(C13+D13)/F13)</f>
      </c>
      <c r="H13" s="580">
        <f>IF((F13-E13)=0,0,(C13)/(F13-E13))</f>
      </c>
      <c r="I13" s="588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702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0266" l="56" r="56" t="56" vertical="0"/>
        <pm:footer xmlns:pm="smNativeData" b="56" borderId="0" fillId="0" id="1542770266" l="56" r="56" t="56" vertical="2"/>
        <pm:paperBin xmlns:pm="smNativeData" Id="0" id="1542770266" type="0" value="0"/>
        <pm:paperBin xmlns:pm="smNativeData" Id="1" id="1542770266" type="0" value="0"/>
      </ext>
    </extLst>
  </headerFooter>
  <drawing r:id="rId1"/>
  <extLst>
    <ext uri="smNativeData">
      <pm:sheetPrefs xmlns:pm="smNativeData" day="15427702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topLeftCell="A57" view="normal" workbookViewId="0" zoomScale="85">
      <selection activeCell="C71" sqref="C71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128</v>
      </c>
      <c r="B1" s="393" t="s">
        <v>35</v>
      </c>
      <c r="C1" s="393" t="s">
        <v>33</v>
      </c>
      <c r="D1" s="393" t="s">
        <v>129</v>
      </c>
    </row>
    <row r="2" spans="1:4">
      <c r="A2" s="398" t="s">
        <v>130</v>
      </c>
      <c r="B2" s="398" t="s">
        <v>131</v>
      </c>
      <c r="C2" s="398" t="s">
        <v>132</v>
      </c>
      <c r="D2" s="394" t="s">
        <v>133</v>
      </c>
    </row>
    <row r="3" spans="1:4">
      <c r="A3" s="398" t="s">
        <v>130</v>
      </c>
      <c r="B3" s="398" t="s">
        <v>131</v>
      </c>
      <c r="C3" s="398" t="s">
        <v>134</v>
      </c>
      <c r="D3" s="394" t="s">
        <v>135</v>
      </c>
    </row>
    <row r="4" spans="1:4">
      <c r="A4" s="398" t="s">
        <v>130</v>
      </c>
      <c r="B4" s="398" t="s">
        <v>131</v>
      </c>
      <c r="C4" s="398" t="s">
        <v>136</v>
      </c>
      <c r="D4" s="394" t="s">
        <v>137</v>
      </c>
    </row>
    <row r="5" spans="1:4">
      <c r="A5" s="398" t="s">
        <v>130</v>
      </c>
      <c r="B5" s="398" t="s">
        <v>131</v>
      </c>
      <c r="C5" s="398" t="s">
        <v>138</v>
      </c>
      <c r="D5" s="394" t="s">
        <v>139</v>
      </c>
    </row>
    <row r="6" spans="1:4">
      <c r="A6" s="398" t="s">
        <v>130</v>
      </c>
      <c r="B6" s="398" t="s">
        <v>140</v>
      </c>
      <c r="C6" s="398" t="s">
        <v>56</v>
      </c>
      <c r="D6" s="394" t="s">
        <v>141</v>
      </c>
    </row>
    <row r="7" spans="1:4">
      <c r="A7" s="398" t="s">
        <v>130</v>
      </c>
      <c r="B7" s="398" t="s">
        <v>140</v>
      </c>
      <c r="C7" s="398" t="s">
        <v>142</v>
      </c>
      <c r="D7" s="394" t="s">
        <v>143</v>
      </c>
    </row>
    <row r="8" spans="1:4">
      <c r="A8" s="398" t="s">
        <v>130</v>
      </c>
      <c r="B8" s="398" t="s">
        <v>140</v>
      </c>
      <c r="C8" s="398" t="s">
        <v>144</v>
      </c>
      <c r="D8" s="394" t="s">
        <v>145</v>
      </c>
    </row>
    <row r="9" spans="1:4">
      <c r="A9" s="398" t="s">
        <v>130</v>
      </c>
      <c r="B9" s="398" t="s">
        <v>140</v>
      </c>
      <c r="C9" s="398" t="s">
        <v>146</v>
      </c>
      <c r="D9" s="394" t="s">
        <v>147</v>
      </c>
    </row>
    <row r="10" spans="1:4">
      <c r="A10" s="398" t="s">
        <v>130</v>
      </c>
      <c r="B10" s="398" t="s">
        <v>140</v>
      </c>
      <c r="C10" s="398" t="s">
        <v>148</v>
      </c>
      <c r="D10" s="394" t="s">
        <v>149</v>
      </c>
    </row>
    <row r="11" spans="1:4">
      <c r="A11" s="398" t="s">
        <v>130</v>
      </c>
      <c r="B11" s="398" t="s">
        <v>150</v>
      </c>
      <c r="C11" s="398" t="s">
        <v>61</v>
      </c>
      <c r="D11" s="394" t="s">
        <v>151</v>
      </c>
    </row>
    <row r="12" spans="1:4">
      <c r="A12" s="398" t="s">
        <v>130</v>
      </c>
      <c r="B12" s="398" t="s">
        <v>150</v>
      </c>
      <c r="C12" s="398" t="s">
        <v>152</v>
      </c>
      <c r="D12" s="394" t="s">
        <v>153</v>
      </c>
    </row>
    <row r="13" spans="1:4">
      <c r="A13" s="398" t="s">
        <v>130</v>
      </c>
      <c r="B13" s="398" t="s">
        <v>150</v>
      </c>
      <c r="C13" s="398" t="s">
        <v>110</v>
      </c>
      <c r="D13" s="394" t="s">
        <v>154</v>
      </c>
    </row>
    <row r="14" spans="1:4">
      <c r="A14" s="398" t="s">
        <v>130</v>
      </c>
      <c r="B14" s="398" t="s">
        <v>150</v>
      </c>
      <c r="C14" s="398" t="s">
        <v>155</v>
      </c>
      <c r="D14" s="394" t="s">
        <v>156</v>
      </c>
    </row>
    <row r="15" spans="1:4">
      <c r="A15" s="398" t="s">
        <v>130</v>
      </c>
      <c r="B15" s="398" t="s">
        <v>150</v>
      </c>
      <c r="C15" s="398" t="s">
        <v>80</v>
      </c>
      <c r="D15" s="394" t="s">
        <v>157</v>
      </c>
    </row>
    <row r="16" spans="1:4">
      <c r="A16" s="398" t="s">
        <v>130</v>
      </c>
      <c r="B16" s="398" t="s">
        <v>150</v>
      </c>
      <c r="C16" s="398" t="s">
        <v>158</v>
      </c>
      <c r="D16" s="394" t="s">
        <v>159</v>
      </c>
    </row>
    <row r="17" spans="1:4">
      <c r="A17" s="398" t="s">
        <v>130</v>
      </c>
      <c r="B17" s="398" t="s">
        <v>160</v>
      </c>
      <c r="C17" s="398" t="s">
        <v>161</v>
      </c>
      <c r="D17" s="394" t="s">
        <v>162</v>
      </c>
    </row>
    <row r="18" spans="1:4">
      <c r="A18" s="398" t="s">
        <v>130</v>
      </c>
      <c r="B18" s="398" t="s">
        <v>160</v>
      </c>
      <c r="C18" s="398" t="s">
        <v>163</v>
      </c>
      <c r="D18" s="394" t="s">
        <v>164</v>
      </c>
    </row>
    <row r="19" spans="1:4">
      <c r="A19" s="398" t="s">
        <v>130</v>
      </c>
      <c r="B19" s="398" t="s">
        <v>160</v>
      </c>
      <c r="C19" s="398" t="s">
        <v>165</v>
      </c>
      <c r="D19" s="394" t="s">
        <v>166</v>
      </c>
    </row>
    <row r="20" spans="1:4">
      <c r="A20" s="398" t="s">
        <v>130</v>
      </c>
      <c r="B20" s="398" t="s">
        <v>160</v>
      </c>
      <c r="C20" s="398" t="s">
        <v>167</v>
      </c>
      <c r="D20" s="394" t="s">
        <v>168</v>
      </c>
    </row>
    <row r="21" spans="1:4">
      <c r="A21" s="398" t="s">
        <v>130</v>
      </c>
      <c r="B21" s="398" t="s">
        <v>169</v>
      </c>
      <c r="C21" s="398" t="s">
        <v>170</v>
      </c>
      <c r="D21" s="394" t="s">
        <v>171</v>
      </c>
    </row>
    <row r="22" spans="1:4">
      <c r="A22" s="398" t="s">
        <v>130</v>
      </c>
      <c r="B22" s="398" t="s">
        <v>169</v>
      </c>
      <c r="C22" s="398" t="s">
        <v>172</v>
      </c>
      <c r="D22" s="394" t="s">
        <v>173</v>
      </c>
    </row>
    <row r="23" spans="1:4">
      <c r="A23" s="398" t="s">
        <v>130</v>
      </c>
      <c r="B23" s="398" t="s">
        <v>169</v>
      </c>
      <c r="C23" s="398" t="s">
        <v>174</v>
      </c>
      <c r="D23" s="394" t="s">
        <v>175</v>
      </c>
    </row>
    <row r="24" spans="1:4">
      <c r="A24" s="398" t="s">
        <v>130</v>
      </c>
      <c r="B24" s="398" t="s">
        <v>169</v>
      </c>
      <c r="C24" s="398" t="s">
        <v>176</v>
      </c>
      <c r="D24" s="394" t="s">
        <v>177</v>
      </c>
    </row>
    <row r="25" spans="1:4">
      <c r="A25" s="398" t="s">
        <v>130</v>
      </c>
      <c r="B25" s="398" t="s">
        <v>178</v>
      </c>
      <c r="C25" s="398" t="s">
        <v>179</v>
      </c>
      <c r="D25" s="394" t="s">
        <v>180</v>
      </c>
    </row>
    <row r="26" spans="1:4">
      <c r="A26" s="398" t="s">
        <v>130</v>
      </c>
      <c r="B26" s="398" t="s">
        <v>178</v>
      </c>
      <c r="C26" s="398" t="s">
        <v>181</v>
      </c>
      <c r="D26" s="394" t="s">
        <v>182</v>
      </c>
    </row>
    <row r="27" spans="1:4">
      <c r="A27" s="398" t="s">
        <v>130</v>
      </c>
      <c r="B27" s="398" t="s">
        <v>178</v>
      </c>
      <c r="C27" s="398" t="s">
        <v>183</v>
      </c>
      <c r="D27" s="394" t="s">
        <v>184</v>
      </c>
    </row>
    <row r="28" spans="1:4">
      <c r="A28" s="398" t="s">
        <v>130</v>
      </c>
      <c r="B28" s="398" t="s">
        <v>178</v>
      </c>
      <c r="C28" s="398" t="s">
        <v>185</v>
      </c>
      <c r="D28" s="394" t="s">
        <v>186</v>
      </c>
    </row>
    <row r="29" spans="1:4">
      <c r="A29" s="398" t="s">
        <v>130</v>
      </c>
      <c r="B29" s="398" t="s">
        <v>187</v>
      </c>
      <c r="C29" s="398" t="s">
        <v>188</v>
      </c>
      <c r="D29" s="394" t="s">
        <v>189</v>
      </c>
    </row>
    <row r="30" spans="1:4">
      <c r="A30" s="398" t="s">
        <v>130</v>
      </c>
      <c r="B30" s="398" t="s">
        <v>187</v>
      </c>
      <c r="C30" s="398" t="s">
        <v>190</v>
      </c>
      <c r="D30" s="394" t="s">
        <v>191</v>
      </c>
    </row>
    <row r="31" spans="1:4">
      <c r="A31" s="398" t="s">
        <v>130</v>
      </c>
      <c r="B31" s="398" t="s">
        <v>187</v>
      </c>
      <c r="C31" s="398" t="s">
        <v>192</v>
      </c>
      <c r="D31" s="394" t="s">
        <v>193</v>
      </c>
    </row>
    <row r="32" spans="1:4">
      <c r="A32" s="398" t="s">
        <v>130</v>
      </c>
      <c r="B32" s="398" t="s">
        <v>187</v>
      </c>
      <c r="C32" s="398" t="s">
        <v>194</v>
      </c>
      <c r="D32" s="394" t="s">
        <v>195</v>
      </c>
    </row>
    <row r="33" spans="1:4">
      <c r="A33" s="398" t="s">
        <v>130</v>
      </c>
      <c r="B33" s="398" t="s">
        <v>196</v>
      </c>
      <c r="C33" s="398" t="s">
        <v>97</v>
      </c>
      <c r="D33" s="394" t="s">
        <v>197</v>
      </c>
    </row>
    <row r="34" spans="1:4">
      <c r="A34" s="398" t="s">
        <v>130</v>
      </c>
      <c r="B34" s="398" t="s">
        <v>196</v>
      </c>
      <c r="C34" s="398" t="s">
        <v>198</v>
      </c>
      <c r="D34" s="394" t="s">
        <v>199</v>
      </c>
    </row>
    <row r="35" spans="1:4">
      <c r="A35" s="398" t="s">
        <v>130</v>
      </c>
      <c r="B35" s="398" t="s">
        <v>196</v>
      </c>
      <c r="C35" s="398" t="s">
        <v>200</v>
      </c>
      <c r="D35" s="394" t="s">
        <v>201</v>
      </c>
    </row>
    <row r="36" spans="1:4">
      <c r="A36" s="398" t="s">
        <v>130</v>
      </c>
      <c r="B36" s="398" t="s">
        <v>196</v>
      </c>
      <c r="C36" s="398" t="s">
        <v>202</v>
      </c>
      <c r="D36" s="394" t="s">
        <v>203</v>
      </c>
    </row>
    <row r="37" spans="1:4">
      <c r="A37" s="398" t="s">
        <v>130</v>
      </c>
      <c r="B37" s="398" t="s">
        <v>196</v>
      </c>
      <c r="C37" s="398" t="s">
        <v>204</v>
      </c>
      <c r="D37" s="394" t="s">
        <v>205</v>
      </c>
    </row>
    <row r="38" spans="1:4">
      <c r="A38" s="398" t="s">
        <v>130</v>
      </c>
      <c r="B38" s="398" t="s">
        <v>196</v>
      </c>
      <c r="C38" s="398" t="s">
        <v>206</v>
      </c>
      <c r="D38" s="394" t="s">
        <v>207</v>
      </c>
    </row>
    <row r="39" spans="1:4">
      <c r="A39" s="398" t="s">
        <v>130</v>
      </c>
      <c r="B39" s="398" t="s">
        <v>196</v>
      </c>
      <c r="C39" s="398" t="s">
        <v>208</v>
      </c>
      <c r="D39" s="394" t="s">
        <v>209</v>
      </c>
    </row>
    <row r="40" spans="1:4">
      <c r="A40" s="398" t="s">
        <v>130</v>
      </c>
      <c r="B40" s="398" t="s">
        <v>196</v>
      </c>
      <c r="C40" s="398" t="s">
        <v>210</v>
      </c>
      <c r="D40" s="394" t="s">
        <v>211</v>
      </c>
    </row>
    <row r="41" spans="1:4">
      <c r="A41" s="398" t="s">
        <v>130</v>
      </c>
      <c r="B41" s="398" t="s">
        <v>196</v>
      </c>
      <c r="C41" s="398" t="s">
        <v>212</v>
      </c>
      <c r="D41" s="394" t="s">
        <v>213</v>
      </c>
    </row>
    <row r="42" spans="1:4">
      <c r="A42" s="398" t="s">
        <v>130</v>
      </c>
      <c r="B42" s="398" t="s">
        <v>196</v>
      </c>
      <c r="C42" s="398" t="s">
        <v>214</v>
      </c>
      <c r="D42" s="394" t="s">
        <v>215</v>
      </c>
    </row>
    <row r="43" spans="1:4">
      <c r="A43" s="398" t="s">
        <v>130</v>
      </c>
      <c r="B43" s="398" t="s">
        <v>196</v>
      </c>
      <c r="C43" s="398" t="s">
        <v>93</v>
      </c>
      <c r="D43" s="394" t="s">
        <v>216</v>
      </c>
    </row>
    <row r="44" spans="1:4">
      <c r="A44" s="398" t="s">
        <v>130</v>
      </c>
      <c r="B44" s="398" t="s">
        <v>196</v>
      </c>
      <c r="C44" s="398" t="s">
        <v>88</v>
      </c>
      <c r="D44" s="394" t="s">
        <v>217</v>
      </c>
    </row>
    <row r="45" spans="1:4">
      <c r="A45" s="398" t="s">
        <v>130</v>
      </c>
      <c r="B45" s="398" t="s">
        <v>196</v>
      </c>
      <c r="C45" s="398" t="s">
        <v>218</v>
      </c>
      <c r="D45" s="394" t="s">
        <v>219</v>
      </c>
    </row>
    <row r="46" spans="1:4">
      <c r="A46" s="398" t="s">
        <v>130</v>
      </c>
      <c r="B46" s="398" t="s">
        <v>220</v>
      </c>
      <c r="C46" s="398" t="s">
        <v>221</v>
      </c>
      <c r="D46" s="394" t="s">
        <v>222</v>
      </c>
    </row>
    <row r="47" spans="1:4">
      <c r="A47" s="398" t="s">
        <v>130</v>
      </c>
      <c r="B47" s="398" t="s">
        <v>223</v>
      </c>
      <c r="C47" s="398" t="s">
        <v>68</v>
      </c>
      <c r="D47" s="394" t="s">
        <v>224</v>
      </c>
    </row>
    <row r="48" spans="1:4">
      <c r="A48" s="398" t="s">
        <v>130</v>
      </c>
      <c r="B48" s="398" t="s">
        <v>223</v>
      </c>
      <c r="C48" s="398" t="s">
        <v>225</v>
      </c>
      <c r="D48" s="394" t="s">
        <v>226</v>
      </c>
    </row>
    <row r="49" spans="1:4">
      <c r="A49" s="398" t="s">
        <v>130</v>
      </c>
      <c r="B49" s="398" t="s">
        <v>223</v>
      </c>
      <c r="C49" s="398" t="s">
        <v>227</v>
      </c>
      <c r="D49" s="394" t="s">
        <v>228</v>
      </c>
    </row>
    <row r="50" spans="1:4">
      <c r="A50" s="398" t="s">
        <v>130</v>
      </c>
      <c r="B50" s="398" t="s">
        <v>223</v>
      </c>
      <c r="C50" s="398" t="s">
        <v>229</v>
      </c>
      <c r="D50" s="394" t="s">
        <v>230</v>
      </c>
    </row>
    <row r="51" spans="1:4">
      <c r="A51" s="398" t="s">
        <v>130</v>
      </c>
      <c r="B51" s="398" t="s">
        <v>223</v>
      </c>
      <c r="C51" s="398" t="s">
        <v>71</v>
      </c>
      <c r="D51" s="394" t="s">
        <v>231</v>
      </c>
    </row>
    <row r="52" spans="1:4">
      <c r="A52" s="398" t="s">
        <v>130</v>
      </c>
      <c r="B52" s="398" t="s">
        <v>223</v>
      </c>
      <c r="C52" s="398" t="s">
        <v>77</v>
      </c>
      <c r="D52" s="394" t="s">
        <v>232</v>
      </c>
    </row>
    <row r="53" spans="1:4">
      <c r="A53" s="398" t="s">
        <v>130</v>
      </c>
      <c r="B53" s="398" t="s">
        <v>223</v>
      </c>
      <c r="C53" s="398" t="s">
        <v>233</v>
      </c>
      <c r="D53" s="394" t="s">
        <v>234</v>
      </c>
    </row>
    <row r="54" spans="1:4">
      <c r="A54" s="398" t="s">
        <v>130</v>
      </c>
      <c r="B54" s="398" t="s">
        <v>223</v>
      </c>
      <c r="C54" s="398" t="s">
        <v>235</v>
      </c>
      <c r="D54" s="394" t="s">
        <v>236</v>
      </c>
    </row>
    <row r="55" spans="1:4">
      <c r="A55" s="398" t="s">
        <v>130</v>
      </c>
      <c r="B55" s="398" t="s">
        <v>223</v>
      </c>
      <c r="C55" s="398" t="s">
        <v>237</v>
      </c>
      <c r="D55" s="394" t="s">
        <v>238</v>
      </c>
    </row>
    <row r="56" spans="1:4">
      <c r="A56" s="398" t="s">
        <v>130</v>
      </c>
      <c r="B56" s="398" t="s">
        <v>223</v>
      </c>
      <c r="C56" s="398" t="s">
        <v>239</v>
      </c>
      <c r="D56" s="394" t="s">
        <v>240</v>
      </c>
    </row>
    <row r="57" spans="1:4">
      <c r="A57" s="398" t="s">
        <v>130</v>
      </c>
      <c r="B57" s="398" t="s">
        <v>223</v>
      </c>
      <c r="C57" s="398" t="s">
        <v>241</v>
      </c>
      <c r="D57" s="394" t="s">
        <v>242</v>
      </c>
    </row>
    <row r="58" spans="1:4">
      <c r="A58" s="398" t="s">
        <v>130</v>
      </c>
      <c r="B58" s="398" t="s">
        <v>243</v>
      </c>
      <c r="C58" s="398" t="s">
        <v>244</v>
      </c>
      <c r="D58" s="394" t="s">
        <v>245</v>
      </c>
    </row>
    <row r="59" spans="1:4">
      <c r="A59" s="398" t="s">
        <v>130</v>
      </c>
      <c r="B59" s="398" t="s">
        <v>243</v>
      </c>
      <c r="C59" s="398" t="s">
        <v>246</v>
      </c>
      <c r="D59" s="394" t="s">
        <v>247</v>
      </c>
    </row>
    <row r="60" spans="1:4">
      <c r="A60" s="398" t="s">
        <v>130</v>
      </c>
      <c r="B60" s="398" t="s">
        <v>243</v>
      </c>
      <c r="C60" s="398" t="s">
        <v>248</v>
      </c>
      <c r="D60" s="394" t="s">
        <v>249</v>
      </c>
    </row>
    <row r="61" spans="1:4">
      <c r="A61" s="398" t="s">
        <v>130</v>
      </c>
      <c r="B61" s="398" t="s">
        <v>250</v>
      </c>
      <c r="C61" s="398" t="s">
        <v>251</v>
      </c>
      <c r="D61" s="394" t="s">
        <v>252</v>
      </c>
    </row>
    <row r="62" spans="1:4">
      <c r="A62" s="398" t="s">
        <v>130</v>
      </c>
      <c r="B62" s="398" t="s">
        <v>250</v>
      </c>
      <c r="C62" s="398" t="s">
        <v>253</v>
      </c>
      <c r="D62" s="394" t="s">
        <v>254</v>
      </c>
    </row>
    <row r="63" spans="1:4">
      <c r="A63" s="398" t="s">
        <v>130</v>
      </c>
      <c r="B63" s="398" t="s">
        <v>255</v>
      </c>
      <c r="C63" s="398" t="s">
        <v>256</v>
      </c>
      <c r="D63" s="394" t="s">
        <v>257</v>
      </c>
    </row>
    <row r="64" spans="1:4">
      <c r="A64" s="398" t="s">
        <v>130</v>
      </c>
      <c r="B64" s="398" t="s">
        <v>255</v>
      </c>
      <c r="C64" s="398" t="s">
        <v>258</v>
      </c>
      <c r="D64" s="394" t="s">
        <v>259</v>
      </c>
    </row>
    <row r="65" spans="1:4">
      <c r="A65" s="398" t="s">
        <v>130</v>
      </c>
      <c r="B65" s="398" t="s">
        <v>255</v>
      </c>
      <c r="C65" s="398" t="s">
        <v>260</v>
      </c>
      <c r="D65" s="394" t="s">
        <v>261</v>
      </c>
    </row>
    <row r="66" spans="1:4">
      <c r="A66" s="398" t="s">
        <v>130</v>
      </c>
      <c r="B66" s="398" t="s">
        <v>262</v>
      </c>
      <c r="C66" s="398" t="s">
        <v>108</v>
      </c>
      <c r="D66" s="394" t="s">
        <v>263</v>
      </c>
    </row>
    <row r="67" spans="1:4">
      <c r="A67" s="398" t="s">
        <v>130</v>
      </c>
      <c r="B67" s="398" t="s">
        <v>262</v>
      </c>
      <c r="C67" s="398" t="s">
        <v>264</v>
      </c>
      <c r="D67" s="394" t="s">
        <v>265</v>
      </c>
    </row>
    <row r="68" spans="1:4">
      <c r="A68" s="398" t="s">
        <v>130</v>
      </c>
      <c r="B68" s="398" t="s">
        <v>262</v>
      </c>
      <c r="C68" s="398" t="s">
        <v>266</v>
      </c>
      <c r="D68" s="394" t="s">
        <v>267</v>
      </c>
    </row>
    <row r="69" spans="1:4">
      <c r="A69" s="398" t="s">
        <v>130</v>
      </c>
      <c r="B69" s="398" t="s">
        <v>262</v>
      </c>
      <c r="C69" s="398" t="s">
        <v>268</v>
      </c>
      <c r="D69" s="394" t="s">
        <v>269</v>
      </c>
    </row>
    <row r="70" spans="1:4">
      <c r="A70" s="398" t="s">
        <v>130</v>
      </c>
      <c r="B70" s="398" t="s">
        <v>270</v>
      </c>
      <c r="C70" s="398" t="s">
        <v>271</v>
      </c>
      <c r="D70" s="394" t="s">
        <v>272</v>
      </c>
    </row>
    <row r="71" spans="1:4">
      <c r="A71" s="398" t="s">
        <v>130</v>
      </c>
      <c r="B71" s="398" t="s">
        <v>273</v>
      </c>
      <c r="C71" s="398" t="s">
        <v>74</v>
      </c>
      <c r="D71" s="394" t="s">
        <v>274</v>
      </c>
    </row>
    <row r="72" spans="1:4">
      <c r="A72" s="398" t="s">
        <v>130</v>
      </c>
      <c r="B72" s="398" t="s">
        <v>275</v>
      </c>
      <c r="C72" s="398" t="s">
        <v>276</v>
      </c>
      <c r="D72" s="394" t="s">
        <v>277</v>
      </c>
    </row>
    <row r="73" spans="1:4">
      <c r="A73" s="398" t="s">
        <v>130</v>
      </c>
      <c r="B73" s="398" t="s">
        <v>275</v>
      </c>
      <c r="C73" s="398" t="s">
        <v>278</v>
      </c>
      <c r="D73" s="394" t="s">
        <v>279</v>
      </c>
    </row>
    <row r="74" spans="1:4">
      <c r="A74" s="398" t="s">
        <v>130</v>
      </c>
      <c r="B74" s="398" t="s">
        <v>275</v>
      </c>
      <c r="C74" s="398" t="s">
        <v>280</v>
      </c>
      <c r="D74" s="394" t="s">
        <v>281</v>
      </c>
    </row>
    <row r="75" spans="1:4">
      <c r="A75" s="398" t="s">
        <v>282</v>
      </c>
      <c r="B75" s="398" t="s">
        <v>283</v>
      </c>
      <c r="C75" s="398" t="s">
        <v>284</v>
      </c>
      <c r="D75" s="394" t="s">
        <v>285</v>
      </c>
    </row>
    <row r="76" spans="1:4">
      <c r="A76" s="398" t="s">
        <v>286</v>
      </c>
      <c r="B76" s="398" t="s">
        <v>287</v>
      </c>
      <c r="C76" s="398" t="s">
        <v>288</v>
      </c>
      <c r="D76" s="394" t="s">
        <v>289</v>
      </c>
    </row>
    <row r="77" spans="1:4">
      <c r="A77" s="398" t="s">
        <v>286</v>
      </c>
      <c r="B77" s="398" t="s">
        <v>287</v>
      </c>
      <c r="C77" s="398" t="s">
        <v>290</v>
      </c>
      <c r="D77" s="394" t="s">
        <v>291</v>
      </c>
    </row>
    <row r="78" spans="1:4">
      <c r="A78" s="398" t="s">
        <v>286</v>
      </c>
      <c r="B78" s="398" t="s">
        <v>287</v>
      </c>
      <c r="C78" s="398" t="s">
        <v>292</v>
      </c>
      <c r="D78" s="394" t="s">
        <v>293</v>
      </c>
    </row>
    <row r="79" spans="1:4">
      <c r="A79" s="398" t="s">
        <v>286</v>
      </c>
      <c r="B79" s="398" t="s">
        <v>287</v>
      </c>
      <c r="C79" s="398" t="s">
        <v>294</v>
      </c>
      <c r="D79" s="394" t="s">
        <v>295</v>
      </c>
    </row>
    <row r="80" spans="1:4">
      <c r="A80" s="398" t="s">
        <v>286</v>
      </c>
      <c r="B80" s="398" t="s">
        <v>287</v>
      </c>
      <c r="C80" s="398" t="s">
        <v>296</v>
      </c>
      <c r="D80" s="394" t="s">
        <v>297</v>
      </c>
    </row>
    <row r="81" spans="1:4">
      <c r="A81" s="398" t="s">
        <v>298</v>
      </c>
      <c r="B81" s="398" t="s">
        <v>299</v>
      </c>
      <c r="C81" s="398" t="s">
        <v>300</v>
      </c>
      <c r="D81" s="394" t="s">
        <v>301</v>
      </c>
    </row>
    <row r="82" spans="1:4">
      <c r="A82" s="398" t="s">
        <v>298</v>
      </c>
      <c r="B82" s="398" t="s">
        <v>299</v>
      </c>
      <c r="C82" s="398" t="s">
        <v>302</v>
      </c>
      <c r="D82" s="394" t="s">
        <v>303</v>
      </c>
    </row>
    <row r="83" spans="1:4">
      <c r="A83" s="398" t="s">
        <v>298</v>
      </c>
      <c r="B83" s="398" t="s">
        <v>299</v>
      </c>
      <c r="C83" s="398" t="s">
        <v>304</v>
      </c>
      <c r="D83" s="394" t="s">
        <v>305</v>
      </c>
    </row>
    <row r="84" spans="1:4">
      <c r="A84" s="398" t="s">
        <v>298</v>
      </c>
      <c r="B84" s="398" t="s">
        <v>306</v>
      </c>
      <c r="C84" s="398" t="s">
        <v>307</v>
      </c>
      <c r="D84" s="394" t="s">
        <v>308</v>
      </c>
    </row>
    <row r="85" spans="1:4">
      <c r="A85" s="398" t="s">
        <v>298</v>
      </c>
      <c r="B85" s="398" t="s">
        <v>306</v>
      </c>
      <c r="C85" s="398" t="s">
        <v>309</v>
      </c>
      <c r="D85" s="394" t="s">
        <v>310</v>
      </c>
    </row>
    <row r="86" spans="1:4">
      <c r="A86" s="398" t="s">
        <v>298</v>
      </c>
      <c r="B86" s="398" t="s">
        <v>306</v>
      </c>
      <c r="C86" s="398" t="s">
        <v>311</v>
      </c>
      <c r="D86" s="394" t="s">
        <v>312</v>
      </c>
    </row>
    <row r="87" spans="1:4">
      <c r="A87" s="398" t="s">
        <v>313</v>
      </c>
      <c r="B87" s="398" t="s">
        <v>314</v>
      </c>
      <c r="C87" s="398" t="s">
        <v>315</v>
      </c>
      <c r="D87" s="394" t="s">
        <v>316</v>
      </c>
    </row>
    <row r="88" spans="1:4">
      <c r="A88" s="398" t="s">
        <v>313</v>
      </c>
      <c r="B88" s="398" t="s">
        <v>317</v>
      </c>
      <c r="C88" s="398" t="s">
        <v>318</v>
      </c>
      <c r="D88" s="394" t="s">
        <v>319</v>
      </c>
    </row>
    <row r="89" spans="1:4">
      <c r="A89" s="398" t="s">
        <v>320</v>
      </c>
      <c r="B89" s="398" t="s">
        <v>321</v>
      </c>
      <c r="C89" s="398" t="s">
        <v>322</v>
      </c>
      <c r="D89" s="394" t="s">
        <v>323</v>
      </c>
    </row>
    <row r="90" spans="1:4">
      <c r="A90" s="398" t="s">
        <v>320</v>
      </c>
      <c r="B90" s="398" t="s">
        <v>321</v>
      </c>
      <c r="C90" s="398" t="s">
        <v>324</v>
      </c>
      <c r="D90" s="394" t="s">
        <v>325</v>
      </c>
    </row>
    <row r="91" spans="1:4">
      <c r="A91" s="398" t="s">
        <v>320</v>
      </c>
      <c r="B91" s="398" t="s">
        <v>321</v>
      </c>
      <c r="C91" s="398" t="s">
        <v>326</v>
      </c>
      <c r="D91" s="394" t="s">
        <v>327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70266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70266" l="56" r="56" t="56" vertical="0"/>
        <pm:footer xmlns:pm="smNativeData" b="56" borderId="0" fillId="0" id="1542770266" l="56" r="56" t="56" vertical="2"/>
        <pm:paperBin xmlns:pm="smNativeData" Id="0" id="1542770266" type="0" value="0"/>
        <pm:paperBin xmlns:pm="smNativeData" Id="1" id="1542770266" type="0" value="0"/>
      </ext>
    </extLst>
  </headerFooter>
  <extLst>
    <ext uri="smNativeData">
      <pm:sheetPrefs xmlns:pm="smNativeData" day="1542770266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2018-11-21T03:17:46Z</dcterms:modified>
  <cp:revision>0</cp:revision>
</cp:coreProperties>
</file>